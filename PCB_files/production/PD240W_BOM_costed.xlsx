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OM" sheetId="2" state="visible" r:id="rId4"/>
    <sheet name="Price Tiers" sheetId="3" state="visible" r:id="rId5"/>
  </sheets>
  <definedNames>
    <definedName function="false" hidden="true" localSheetId="1" name="_xlnm._FilterDatabase" vbProcedure="false">BOM!$A$4:$T$60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<sst xmlns="http://schemas.openxmlformats.org/spreadsheetml/2006/main" count="741" uniqueCount="436">
  <si>
    <t xml:space="preserve">PD240W - BOM cost summary</t>
  </si>
  <si>
    <t xml:space="preserve">Yellow cells are inputs. Change a build size and every price on the BOM tab re-looks-up its volume tier.</t>
  </si>
  <si>
    <t xml:space="preserve">Build sizes (boards)</t>
  </si>
  <si>
    <t xml:space="preserve">Build A</t>
  </si>
  <si>
    <t xml:space="preserve">Build B</t>
  </si>
  <si>
    <t xml:space="preserve">Build C</t>
  </si>
  <si>
    <t xml:space="preserve">Board content</t>
  </si>
  <si>
    <t xml:space="preserve">Unique line items (distinct LCSC parts)</t>
  </si>
  <si>
    <t xml:space="preserve">Total placements per board</t>
  </si>
  <si>
    <t xml:space="preserve">Basic-library parts</t>
  </si>
  <si>
    <t xml:space="preserve">Preferred-library parts</t>
  </si>
  <si>
    <t xml:space="preserve">Extended-library parts (extra JLC setup fee each)</t>
  </si>
  <si>
    <t xml:space="preserve">Component cost</t>
  </si>
  <si>
    <t xml:space="preserve">Build size (boards)</t>
  </si>
  <si>
    <t xml:space="preserve">Total BOM cost</t>
  </si>
  <si>
    <t xml:space="preserve">Cost per board</t>
  </si>
  <si>
    <t xml:space="preserve">Supply risk</t>
  </si>
  <si>
    <t xml:space="preserve">Parts out of stock at JLC</t>
  </si>
  <si>
    <t xml:space="preserve">Parts short of the 10-board need</t>
  </si>
  <si>
    <t xml:space="preserve">Parts short of the 100-board need</t>
  </si>
  <si>
    <t xml:space="preserve">Excluded from these figures: PCB fabrication, assembly, stencil, setup and extended-part fees, shipping, duty.</t>
  </si>
  <si>
    <t xml:space="preserve">Price source: JLCPCB/LCSC parts API, retrieved 2026-08-23. Quantities: KiCad export PCB_files/production/bom.csv (rev 1.1.0).</t>
  </si>
  <si>
    <t xml:space="preserve">PD240W - PCB Bill of Materials (JLCPCB / LCSC pricing)</t>
  </si>
  <si>
    <t xml:space="preserve">Prices in USD from LCSC/JLCPCB volume tiers. Unit price is looked up from the Price Tiers tab against the total quantity that build size requires. Source: JLCPCB parts API, retrieved 2026-08-23.</t>
  </si>
  <si>
    <t xml:space="preserve">#</t>
  </si>
  <si>
    <t xml:space="preserve">Designators</t>
  </si>
  <si>
    <t xml:space="preserve">Qty/Bd</t>
  </si>
  <si>
    <t xml:space="preserve">Value (KiCad)</t>
  </si>
  <si>
    <t xml:space="preserve">Footprint</t>
  </si>
  <si>
    <t xml:space="preserve">LCSC #</t>
  </si>
  <si>
    <t xml:space="preserve">Manufacturer Part No.</t>
  </si>
  <si>
    <t xml:space="preserve">Manufacturer</t>
  </si>
  <si>
    <t xml:space="preserve">Package</t>
  </si>
  <si>
    <t xml:space="preserve">JLC Library</t>
  </si>
  <si>
    <t xml:space="preserve">JLC Stock</t>
  </si>
  <si>
    <t xml:space="preserve">Description</t>
  </si>
  <si>
    <t xml:space="preserve">Unit $ @ 1 bd</t>
  </si>
  <si>
    <t xml:space="preserve">Ext $ @ 1 bd</t>
  </si>
  <si>
    <t xml:space="preserve">Unit $ @ 10 bd</t>
  </si>
  <si>
    <t xml:space="preserve">Ext $ @ 10 bd</t>
  </si>
  <si>
    <t xml:space="preserve">Unit $ @ 100 bd</t>
  </si>
  <si>
    <t xml:space="preserve">Ext $ @ 100 bd</t>
  </si>
  <si>
    <t xml:space="preserve">Stock Status</t>
  </si>
  <si>
    <t xml:space="preserve">LCSC Link</t>
  </si>
  <si>
    <t xml:space="preserve">C1, C3, C7</t>
  </si>
  <si>
    <t xml:space="preserve">10n X7R 100V</t>
  </si>
  <si>
    <t xml:space="preserve">capc_1005_06_n</t>
  </si>
  <si>
    <t xml:space="preserve">C527014</t>
  </si>
  <si>
    <t xml:space="preserve">CC0402KRX7R0BB103</t>
  </si>
  <si>
    <t xml:space="preserve">YAGEO</t>
  </si>
  <si>
    <t xml:space="preserve">0402</t>
  </si>
  <si>
    <t xml:space="preserve">Extended</t>
  </si>
  <si>
    <t xml:space="preserve">Cap 10nF 100V X7R ±10%</t>
  </si>
  <si>
    <t xml:space="preserve">OK</t>
  </si>
  <si>
    <t xml:space="preserve">LCSC</t>
  </si>
  <si>
    <t xml:space="preserve">C2, C34, C35, C36, C37, C53, C55, C56, C57, C58, C59, C60, C61</t>
  </si>
  <si>
    <t xml:space="preserve">1u X7R 100V</t>
  </si>
  <si>
    <t xml:space="preserve">capc_2012_14_n</t>
  </si>
  <si>
    <t xml:space="preserve">C5370002</t>
  </si>
  <si>
    <t xml:space="preserve">CC0805KKX7R0BB105</t>
  </si>
  <si>
    <t xml:space="preserve">0805</t>
  </si>
  <si>
    <t xml:space="preserve">Cap 1uF 100V X7R ±10%</t>
  </si>
  <si>
    <t xml:space="preserve">C5</t>
  </si>
  <si>
    <t xml:space="preserve">4.7u</t>
  </si>
  <si>
    <t xml:space="preserve">capc_3225_22_n</t>
  </si>
  <si>
    <t xml:space="preserve">C913445</t>
  </si>
  <si>
    <t xml:space="preserve">GCM32DC72A475KE02L</t>
  </si>
  <si>
    <t xml:space="preserve">Murata Electronics</t>
  </si>
  <si>
    <t xml:space="preserve">1210</t>
  </si>
  <si>
    <t xml:space="preserve">Cap 4.7uF 100V X7S ±10%</t>
  </si>
  <si>
    <t xml:space="preserve">C4, C6, C8, C10, C16, C20, C21, C23, C24, C25, C26, C27, C30, C31, C38, C39, C40, C41, C42, C43, C44, C45, C46, C47, C48, C49, C50, C51, C52, C54, C62, C63</t>
  </si>
  <si>
    <t xml:space="preserve">100n X7R 100V</t>
  </si>
  <si>
    <t xml:space="preserve">capc_1608_09_l</t>
  </si>
  <si>
    <t xml:space="preserve">C15725</t>
  </si>
  <si>
    <t xml:space="preserve">CL10B104KC8NNNC</t>
  </si>
  <si>
    <t xml:space="preserve">Samsung Electro-Mechanics</t>
  </si>
  <si>
    <t xml:space="preserve">0603</t>
  </si>
  <si>
    <t xml:space="preserve">Cap 100nF 100V X7R ±10%</t>
  </si>
  <si>
    <t xml:space="preserve">C11, C13</t>
  </si>
  <si>
    <t xml:space="preserve">220p X7R 50V</t>
  </si>
  <si>
    <t xml:space="preserve">capc_1005_06_l</t>
  </si>
  <si>
    <t xml:space="preserve">C296710</t>
  </si>
  <si>
    <t xml:space="preserve">CL05B221KB5NNNC</t>
  </si>
  <si>
    <t xml:space="preserve">Cap 220pF 50V X7R ±10%</t>
  </si>
  <si>
    <t xml:space="preserve">C9, C12, C14, C15, C28, C29, C65, C66, C67</t>
  </si>
  <si>
    <t xml:space="preserve">10u X7R 63V</t>
  </si>
  <si>
    <t xml:space="preserve">capc_3225_27_n</t>
  </si>
  <si>
    <t xml:space="preserve">C437568</t>
  </si>
  <si>
    <t xml:space="preserve">GRM32ER71J106KA12L</t>
  </si>
  <si>
    <t xml:space="preserve">Cap 10uF 63V X7R ±10%</t>
  </si>
  <si>
    <t xml:space="preserve">C17, C18, C19</t>
  </si>
  <si>
    <t xml:space="preserve">3.3u X5R 25V</t>
  </si>
  <si>
    <t xml:space="preserve">capc_1608_09_n</t>
  </si>
  <si>
    <t xml:space="preserve">C5360803</t>
  </si>
  <si>
    <t xml:space="preserve">TCC0603X5R335M250CT</t>
  </si>
  <si>
    <t xml:space="preserve">CCTC</t>
  </si>
  <si>
    <t xml:space="preserve">Cap 3.3uF 25V X5R ±20%</t>
  </si>
  <si>
    <t xml:space="preserve">C22</t>
  </si>
  <si>
    <t xml:space="preserve">2.2u X7R 100V</t>
  </si>
  <si>
    <t xml:space="preserve">capc_2012_14_m</t>
  </si>
  <si>
    <t xml:space="preserve">C22367838</t>
  </si>
  <si>
    <t xml:space="preserve">HHV0805R7225K101NSLJ</t>
  </si>
  <si>
    <t xml:space="preserve">Chinocera</t>
  </si>
  <si>
    <t xml:space="preserve">Cap 2.2uF 100V X7R ±10%</t>
  </si>
  <si>
    <t xml:space="preserve">C32, C33</t>
  </si>
  <si>
    <t xml:space="preserve">15p COG 50V</t>
  </si>
  <si>
    <t xml:space="preserve">C1548</t>
  </si>
  <si>
    <t xml:space="preserve">0402CG150J500NT</t>
  </si>
  <si>
    <t xml:space="preserve">FH (Guangdong Fenghua)</t>
  </si>
  <si>
    <t xml:space="preserve">Basic</t>
  </si>
  <si>
    <t xml:space="preserve">Cap 15pF 50V C0G ±5%</t>
  </si>
  <si>
    <t xml:space="preserve">C64</t>
  </si>
  <si>
    <t xml:space="preserve">22u X7R 25V</t>
  </si>
  <si>
    <t xml:space="preserve">C309062</t>
  </si>
  <si>
    <t xml:space="preserve">CL32B226KAJNNNE</t>
  </si>
  <si>
    <t xml:space="preserve">Cap 22uF 25V X7R ±10%</t>
  </si>
  <si>
    <t xml:space="preserve">D1, D8</t>
  </si>
  <si>
    <t xml:space="preserve">SMAJ48A</t>
  </si>
  <si>
    <t xml:space="preserve">do-214ac_440p_430x250x230_n_p</t>
  </si>
  <si>
    <t xml:space="preserve">C41376401</t>
  </si>
  <si>
    <t xml:space="preserve">hongjiacheng</t>
  </si>
  <si>
    <t xml:space="preserve">DO-214AC (SMA)</t>
  </si>
  <si>
    <t xml:space="preserve">Preferred</t>
  </si>
  <si>
    <t xml:space="preserve">TVS diode 48V 400W unidirectional</t>
  </si>
  <si>
    <t xml:space="preserve">D2, D3</t>
  </si>
  <si>
    <t xml:space="preserve">BZT52C18SQ</t>
  </si>
  <si>
    <t xml:space="preserve">sod-323_230p_170x125x100_n</t>
  </si>
  <si>
    <t xml:space="preserve">C2857090</t>
  </si>
  <si>
    <t xml:space="preserve">JSMSEMI</t>
  </si>
  <si>
    <t xml:space="preserve">SOD-323</t>
  </si>
  <si>
    <t xml:space="preserve">Zener diode 18V 200mW</t>
  </si>
  <si>
    <t xml:space="preserve">Tight - under 100-board need</t>
  </si>
  <si>
    <t xml:space="preserve">D5, D9</t>
  </si>
  <si>
    <t xml:space="preserve">D3V3F4U6S-7</t>
  </si>
  <si>
    <t xml:space="preserve">sot363_sc88_65p_200x125x110_n</t>
  </si>
  <si>
    <t xml:space="preserve">C1869321</t>
  </si>
  <si>
    <t xml:space="preserve">Diodes Incorporated</t>
  </si>
  <si>
    <t xml:space="preserve">SOT-363</t>
  </si>
  <si>
    <t xml:space="preserve">ESD array 4-ch 3.3V 0.85pF</t>
  </si>
  <si>
    <t xml:space="preserve">D6</t>
  </si>
  <si>
    <t xml:space="preserve">B0520LW-7-F</t>
  </si>
  <si>
    <t xml:space="preserve">sod-123_270x155135_n</t>
  </si>
  <si>
    <t xml:space="preserve">C155367</t>
  </si>
  <si>
    <t xml:space="preserve">SOD-123</t>
  </si>
  <si>
    <t xml:space="preserve">Schottky diode 20V 500mA</t>
  </si>
  <si>
    <t xml:space="preserve">D4, D7, D10, D14</t>
  </si>
  <si>
    <t xml:space="preserve">APTD1608LQBC/D</t>
  </si>
  <si>
    <t xml:space="preserve">kingbright_0603_blue</t>
  </si>
  <si>
    <t xml:space="preserve">C5344742</t>
  </si>
  <si>
    <t xml:space="preserve">Kingbright</t>
  </si>
  <si>
    <t xml:space="preserve">LED blue 465nm 20mcd</t>
  </si>
  <si>
    <t xml:space="preserve">D11</t>
  </si>
  <si>
    <t xml:space="preserve">SK6812-EC20</t>
  </si>
  <si>
    <t xml:space="preserve">C2909058</t>
  </si>
  <si>
    <t xml:space="preserve">OPSCO Optoelectronics</t>
  </si>
  <si>
    <t xml:space="preserve">SMD 2x2mm</t>
  </si>
  <si>
    <t xml:space="preserve">RGB LED with built-in controller</t>
  </si>
  <si>
    <t xml:space="preserve">D12, D13</t>
  </si>
  <si>
    <t xml:space="preserve">MBR1H100SFT3G</t>
  </si>
  <si>
    <t xml:space="preserve">sod-123fl_305p_260x160x90_n</t>
  </si>
  <si>
    <t xml:space="preserve">C235757</t>
  </si>
  <si>
    <t xml:space="preserve">onsemi</t>
  </si>
  <si>
    <t xml:space="preserve">SOD-123FL</t>
  </si>
  <si>
    <t xml:space="preserve">Schottky diode 100V 1A</t>
  </si>
  <si>
    <t xml:space="preserve">DSP1</t>
  </si>
  <si>
    <t xml:space="preserve">HS20HS072RX</t>
  </si>
  <si>
    <t xml:space="preserve">generic_display_518x362x2_10mm_standoff</t>
  </si>
  <si>
    <t xml:space="preserve">C5329582</t>
  </si>
  <si>
    <t xml:space="preserve">HS</t>
  </si>
  <si>
    <t xml:space="preserve">LCD module</t>
  </si>
  <si>
    <t xml:space="preserve">LCD 2.0in 320x240 ST7789 SPI</t>
  </si>
  <si>
    <t xml:space="preserve">F1, F2</t>
  </si>
  <si>
    <t xml:space="preserve">FSMD020-1206-R</t>
  </si>
  <si>
    <t xml:space="preserve">ptc_1206_08_n</t>
  </si>
  <si>
    <t xml:space="preserve">C220145</t>
  </si>
  <si>
    <t xml:space="preserve">Fuzetec Tech</t>
  </si>
  <si>
    <t xml:space="preserve">1206</t>
  </si>
  <si>
    <t xml:space="preserve">PTC resettable fuse 200mA 30V</t>
  </si>
  <si>
    <t xml:space="preserve">FB1</t>
  </si>
  <si>
    <t xml:space="preserve">BLM18SN220TH1D</t>
  </si>
  <si>
    <t xml:space="preserve">fer_1608_09_n</t>
  </si>
  <si>
    <t xml:space="preserve">C710392</t>
  </si>
  <si>
    <t xml:space="preserve">Ferrite bead 22R@100MHz 8A</t>
  </si>
  <si>
    <t xml:space="preserve">J1</t>
  </si>
  <si>
    <t xml:space="preserve">DX07S024JJ2R1300</t>
  </si>
  <si>
    <t xml:space="preserve">C2977282</t>
  </si>
  <si>
    <t xml:space="preserve">JAE Electronics</t>
  </si>
  <si>
    <t xml:space="preserve">SMD</t>
  </si>
  <si>
    <t xml:space="preserve">USB Type-C receptacle 24P 48V</t>
  </si>
  <si>
    <t xml:space="preserve">J3</t>
  </si>
  <si>
    <t xml:space="preserve">24.245.1</t>
  </si>
  <si>
    <t xml:space="preserve">fcr7350r</t>
  </si>
  <si>
    <t xml:space="preserve">C7437326</t>
  </si>
  <si>
    <t xml:space="preserve">Changzhou Amass Elec</t>
  </si>
  <si>
    <t xml:space="preserve">Through hole</t>
  </si>
  <si>
    <t xml:space="preserve">4mm banana socket red 24A</t>
  </si>
  <si>
    <t xml:space="preserve">J4</t>
  </si>
  <si>
    <t xml:space="preserve">24.245.2</t>
  </si>
  <si>
    <t xml:space="preserve">fcr7350b</t>
  </si>
  <si>
    <t xml:space="preserve">C7437327</t>
  </si>
  <si>
    <t xml:space="preserve">4mm banana socket black 24A</t>
  </si>
  <si>
    <t xml:space="preserve">J5, J6</t>
  </si>
  <si>
    <t xml:space="preserve">1935776</t>
  </si>
  <si>
    <t xml:space="preserve">phoenix_1935776</t>
  </si>
  <si>
    <t xml:space="preserve">C3817389</t>
  </si>
  <si>
    <t xml:space="preserve">Phoenix Contact</t>
  </si>
  <si>
    <t xml:space="preserve">THT P=5mm</t>
  </si>
  <si>
    <t xml:space="preserve">Screw terminal block 2P 5mm 20A</t>
  </si>
  <si>
    <t xml:space="preserve">J8</t>
  </si>
  <si>
    <t xml:space="preserve">AFC07-S12FCA-00</t>
  </si>
  <si>
    <t xml:space="preserve">C262559</t>
  </si>
  <si>
    <t xml:space="preserve">JUSHUO</t>
  </si>
  <si>
    <t xml:space="preserve">SMD P=0.5mm</t>
  </si>
  <si>
    <t xml:space="preserve">FPC connector 12P 0.5mm</t>
  </si>
  <si>
    <t xml:space="preserve">L1</t>
  </si>
  <si>
    <t xml:space="preserve">33uH 1.3A 244mOhm</t>
  </si>
  <si>
    <t xml:space="preserve">L_APV_ANR5020</t>
  </si>
  <si>
    <t xml:space="preserve">C9390</t>
  </si>
  <si>
    <t xml:space="preserve">SMNR5040-330MT</t>
  </si>
  <si>
    <t xml:space="preserve">SXN (Shun Xiang Nuo)</t>
  </si>
  <si>
    <t xml:space="preserve">SMD 5x5mm</t>
  </si>
  <si>
    <t xml:space="preserve">Power inductor 33uH 1.1A 244mR</t>
  </si>
  <si>
    <t xml:space="preserve">L2</t>
  </si>
  <si>
    <t xml:space="preserve">22uH 1A 0.29Ohm</t>
  </si>
  <si>
    <t xml:space="preserve">SWPA4030S220MT</t>
  </si>
  <si>
    <t xml:space="preserve">C83472</t>
  </si>
  <si>
    <t xml:space="preserve">Sunlord</t>
  </si>
  <si>
    <t xml:space="preserve">SMD 4x4mm</t>
  </si>
  <si>
    <t xml:space="preserve">Power inductor 22uH 1A 292mR</t>
  </si>
  <si>
    <t xml:space="preserve">PZ1</t>
  </si>
  <si>
    <t xml:space="preserve">FUET-9018</t>
  </si>
  <si>
    <t xml:space="preserve">buzzer_9x9x2.1mm</t>
  </si>
  <si>
    <t xml:space="preserve">C391035</t>
  </si>
  <si>
    <t xml:space="preserve">FUET</t>
  </si>
  <si>
    <t xml:space="preserve">SMD 9x9mm</t>
  </si>
  <si>
    <t xml:space="preserve">Piezo buzzer passive 4kHz 65dB</t>
  </si>
  <si>
    <t xml:space="preserve">Q1</t>
  </si>
  <si>
    <t xml:space="preserve">AGM612AP</t>
  </si>
  <si>
    <t xml:space="preserve">vsonp8_65p_330x330x80_mfg</t>
  </si>
  <si>
    <t xml:space="preserve">C5349119</t>
  </si>
  <si>
    <t xml:space="preserve">AGM-Semi</t>
  </si>
  <si>
    <t xml:space="preserve">PDFN-8 (3.3x3.3)</t>
  </si>
  <si>
    <t xml:space="preserve">MOSFET N-ch 60V 50A 11mR</t>
  </si>
  <si>
    <t xml:space="preserve">Q2, Q3, Q4, Q6, Q7</t>
  </si>
  <si>
    <t xml:space="preserve">AO3404A</t>
  </si>
  <si>
    <t xml:space="preserve">sot-23-3L_103p_300x130x110_n</t>
  </si>
  <si>
    <t xml:space="preserve">C30010</t>
  </si>
  <si>
    <t xml:space="preserve">Alpha &amp; Omega Semicon</t>
  </si>
  <si>
    <t xml:space="preserve">SOT-23</t>
  </si>
  <si>
    <t xml:space="preserve">MOSFET N-ch 30V 5.8A</t>
  </si>
  <si>
    <t xml:space="preserve">Q5</t>
  </si>
  <si>
    <t xml:space="preserve">SQJB90EP-T1_GE3</t>
  </si>
  <si>
    <t xml:space="preserve">PowerPAKSO-8_127p_513x615x120_n</t>
  </si>
  <si>
    <t xml:space="preserve">C727731</t>
  </si>
  <si>
    <t xml:space="preserve">Vishay Intertech</t>
  </si>
  <si>
    <t xml:space="preserve">PowerPAK SO-8L</t>
  </si>
  <si>
    <t xml:space="preserve">MOSFET dual N-ch 80V 30A</t>
  </si>
  <si>
    <t xml:space="preserve">R1, R5, R33, R34, R68, R74, R75, R82, R88</t>
  </si>
  <si>
    <t xml:space="preserve">33k 1%</t>
  </si>
  <si>
    <t xml:space="preserve">resc_1005_04_n</t>
  </si>
  <si>
    <t xml:space="preserve">C138003</t>
  </si>
  <si>
    <t xml:space="preserve">RC0402FR-0733KL</t>
  </si>
  <si>
    <t xml:space="preserve">Resistor 33k 1% 62.5mW</t>
  </si>
  <si>
    <t xml:space="preserve">R7, R8, R10, R11, R17, R26, R32, R83</t>
  </si>
  <si>
    <t xml:space="preserve">4.7k 1%</t>
  </si>
  <si>
    <t xml:space="preserve">resc_1005_04_m</t>
  </si>
  <si>
    <t xml:space="preserve">C25900</t>
  </si>
  <si>
    <t xml:space="preserve">0402WGF4701TCE</t>
  </si>
  <si>
    <t xml:space="preserve">UNI-ROYAL</t>
  </si>
  <si>
    <t xml:space="preserve">Resistor 4.7k 1% 62.5mW</t>
  </si>
  <si>
    <t xml:space="preserve">R2, R9, R12, R16, R24, R35, R66, R69, R70, R72, R73, R76, R85, R86, R87, R89</t>
  </si>
  <si>
    <t xml:space="preserve">10k 1%</t>
  </si>
  <si>
    <t xml:space="preserve">C25744</t>
  </si>
  <si>
    <t xml:space="preserve">0402WGF1002TCE</t>
  </si>
  <si>
    <t xml:space="preserve">Resistor 10k 1% 62.5mW</t>
  </si>
  <si>
    <t xml:space="preserve">R3, R4, R13, R14, R15, R19, R20, R22, R23, R25, R78, R80, R81, R84</t>
  </si>
  <si>
    <t xml:space="preserve">100k 1%</t>
  </si>
  <si>
    <t xml:space="preserve">C25741</t>
  </si>
  <si>
    <t xml:space="preserve">0402WGF1003TCE</t>
  </si>
  <si>
    <t xml:space="preserve">Resistor 100k 1% 62.5mW</t>
  </si>
  <si>
    <t xml:space="preserve">R18, R28, R30, R31, R37, R38, R39, R40, R41, R42, R43, R44, R45, R46, R48, R49, R50, R51, R52, R56, R57, R58, R59, R60, R61, R62, R63, R65, R77</t>
  </si>
  <si>
    <t xml:space="preserve">27R 1%</t>
  </si>
  <si>
    <t xml:space="preserve">C138021</t>
  </si>
  <si>
    <t xml:space="preserve">RC0402FR-0727RL</t>
  </si>
  <si>
    <t xml:space="preserve">Resistor 27R 1% 62.5mW</t>
  </si>
  <si>
    <t xml:space="preserve">R21, R67, R71</t>
  </si>
  <si>
    <t xml:space="preserve">330R 1%</t>
  </si>
  <si>
    <t xml:space="preserve">C25104</t>
  </si>
  <si>
    <t xml:space="preserve">0402WGF3300TCE</t>
  </si>
  <si>
    <t xml:space="preserve">Resistor 330R 1% 62.5mW</t>
  </si>
  <si>
    <t xml:space="preserve">R27</t>
  </si>
  <si>
    <t xml:space="preserve">10k @25°C</t>
  </si>
  <si>
    <t xml:space="preserve">C95939</t>
  </si>
  <si>
    <t xml:space="preserve">SDNT1005X103F3950FTF</t>
  </si>
  <si>
    <t xml:space="preserve">NTC thermistor 10k B3950 1%</t>
  </si>
  <si>
    <t xml:space="preserve">R29</t>
  </si>
  <si>
    <t xml:space="preserve">8m 1%</t>
  </si>
  <si>
    <t xml:space="preserve">WSLP1206_n_current_sense_6m_to_50m</t>
  </si>
  <si>
    <t xml:space="preserve">C2988654</t>
  </si>
  <si>
    <t xml:space="preserve">HoLLR1206-1W-8mR-1%</t>
  </si>
  <si>
    <t xml:space="preserve">Milliohm</t>
  </si>
  <si>
    <t xml:space="preserve">Current sense resistor 8mR 1W 1%</t>
  </si>
  <si>
    <t xml:space="preserve">R6, R36, R47, R53, R54, R55, R64, R90</t>
  </si>
  <si>
    <t xml:space="preserve">1k 1%</t>
  </si>
  <si>
    <t xml:space="preserve">C11702</t>
  </si>
  <si>
    <t xml:space="preserve">0402WGF1001TCE</t>
  </si>
  <si>
    <t xml:space="preserve">Resistor 1k 1% 62.5mW</t>
  </si>
  <si>
    <t xml:space="preserve">R79</t>
  </si>
  <si>
    <t xml:space="preserve">3.9R 1%</t>
  </si>
  <si>
    <t xml:space="preserve">C2933095</t>
  </si>
  <si>
    <t xml:space="preserve">FRC0402F3R90TS</t>
  </si>
  <si>
    <t xml:space="preserve">FOJAN</t>
  </si>
  <si>
    <t xml:space="preserve">Resistor 3.9R 1% 62.5mW</t>
  </si>
  <si>
    <t xml:space="preserve">S1, S2</t>
  </si>
  <si>
    <t xml:space="preserve">EVQ-PUC02K</t>
  </si>
  <si>
    <t xml:space="preserve">EVQPUC02K</t>
  </si>
  <si>
    <t xml:space="preserve">C79174</t>
  </si>
  <si>
    <t xml:space="preserve">Panasonic</t>
  </si>
  <si>
    <t xml:space="preserve">SMD 4.7x4.5mm</t>
  </si>
  <si>
    <t xml:space="preserve">Tactile switch side-actuated SPST</t>
  </si>
  <si>
    <t xml:space="preserve">S3, S5</t>
  </si>
  <si>
    <t xml:space="preserve">GT-TC120A-H120-L1</t>
  </si>
  <si>
    <t xml:space="preserve">C2762973</t>
  </si>
  <si>
    <t xml:space="preserve">G-Switch</t>
  </si>
  <si>
    <t xml:space="preserve">SMD-4P 6.2x6.2mm</t>
  </si>
  <si>
    <t xml:space="preserve">Tactile switch 12mm IPX7 SPST</t>
  </si>
  <si>
    <t xml:space="preserve">S4</t>
  </si>
  <si>
    <t xml:space="preserve">PEC11R-4215F-S0024</t>
  </si>
  <si>
    <t xml:space="preserve">C143790</t>
  </si>
  <si>
    <t xml:space="preserve">BOURNS</t>
  </si>
  <si>
    <t xml:space="preserve">Rotary encoder 24 detent with switch</t>
  </si>
  <si>
    <t xml:space="preserve">U1</t>
  </si>
  <si>
    <t xml:space="preserve">TPD4S480RUKR</t>
  </si>
  <si>
    <t xml:space="preserve">wqfn20_40p_300x300x80_tp_170x170_n</t>
  </si>
  <si>
    <t xml:space="preserve">C43131250</t>
  </si>
  <si>
    <t xml:space="preserve">Texas Instruments</t>
  </si>
  <si>
    <t xml:space="preserve">QFN-20 (3x3)</t>
  </si>
  <si>
    <t xml:space="preserve">USB Type-C 48V port protector</t>
  </si>
  <si>
    <t xml:space="preserve">U2</t>
  </si>
  <si>
    <t xml:space="preserve">TPS26750SRSMR</t>
  </si>
  <si>
    <t xml:space="preserve">qfn32_40p_400x400x100_tp_280x280_mfg</t>
  </si>
  <si>
    <t xml:space="preserve">C42166327</t>
  </si>
  <si>
    <t xml:space="preserve">VQFN-32-EP (4x4)</t>
  </si>
  <si>
    <t xml:space="preserve">USB Type-C PD controller</t>
  </si>
  <si>
    <t xml:space="preserve">U3</t>
  </si>
  <si>
    <t xml:space="preserve">CAT24C512YI-GT3</t>
  </si>
  <si>
    <t xml:space="preserve">JEDEC_MO-153_AA</t>
  </si>
  <si>
    <t xml:space="preserve">C56096</t>
  </si>
  <si>
    <t xml:space="preserve">TSSOP-8</t>
  </si>
  <si>
    <t xml:space="preserve">EEPROM 512kbit I2C</t>
  </si>
  <si>
    <t xml:space="preserve">U4</t>
  </si>
  <si>
    <t xml:space="preserve">LM2765</t>
  </si>
  <si>
    <t xml:space="preserve">sot236_p95_290x160x110_n</t>
  </si>
  <si>
    <t xml:space="preserve">C140270</t>
  </si>
  <si>
    <t xml:space="preserve">LM2765M6X/NOPB</t>
  </si>
  <si>
    <t xml:space="preserve">SOT-23-6</t>
  </si>
  <si>
    <t xml:space="preserve">Charge pump voltage doubler 20mA</t>
  </si>
  <si>
    <t xml:space="preserve">U5</t>
  </si>
  <si>
    <t xml:space="preserve">74LVC1G08SE-7</t>
  </si>
  <si>
    <t xml:space="preserve">sot353_65p_200x125x110_mo-203-aa_n</t>
  </si>
  <si>
    <t xml:space="preserve">C460522</t>
  </si>
  <si>
    <t xml:space="preserve">SOT-353</t>
  </si>
  <si>
    <t xml:space="preserve">Single 2-input AND gate</t>
  </si>
  <si>
    <t xml:space="preserve">U6</t>
  </si>
  <si>
    <t xml:space="preserve">LTC7004x</t>
  </si>
  <si>
    <t xml:space="preserve">msop_10p_300x490x110_tp168x188_n</t>
  </si>
  <si>
    <t xml:space="preserve">C690105</t>
  </si>
  <si>
    <t xml:space="preserve">LTC7004EMSE#PBF</t>
  </si>
  <si>
    <t xml:space="preserve">Analog Devices</t>
  </si>
  <si>
    <t xml:space="preserve">MSOP-10-EP</t>
  </si>
  <si>
    <t xml:space="preserve">High side NMOS gate driver 60V</t>
  </si>
  <si>
    <t xml:space="preserve">OUT OF STOCK</t>
  </si>
  <si>
    <t xml:space="preserve">U7</t>
  </si>
  <si>
    <t xml:space="preserve">INA228AIDGSR</t>
  </si>
  <si>
    <t xml:space="preserve">vssop10_50p_300x300x110_mfg</t>
  </si>
  <si>
    <t xml:space="preserve">C2887910</t>
  </si>
  <si>
    <t xml:space="preserve">VSSOP-10</t>
  </si>
  <si>
    <t xml:space="preserve">Current sense amp 85V 20-bit</t>
  </si>
  <si>
    <t xml:space="preserve">Low - under 10-board need</t>
  </si>
  <si>
    <t xml:space="preserve">U8</t>
  </si>
  <si>
    <t xml:space="preserve">SN74LVC1G17DBVR</t>
  </si>
  <si>
    <t xml:space="preserve">sot25_95p_300x280x145_jedec_mo-178-aa_n</t>
  </si>
  <si>
    <t xml:space="preserve">C7836</t>
  </si>
  <si>
    <t xml:space="preserve">SOT-23-5</t>
  </si>
  <si>
    <t xml:space="preserve">Schmitt trigger buffer</t>
  </si>
  <si>
    <t xml:space="preserve">U9</t>
  </si>
  <si>
    <t xml:space="preserve">W25Q128JVPIQ</t>
  </si>
  <si>
    <t xml:space="preserve">wson8_127p_600x500x80_tp_435x340_n</t>
  </si>
  <si>
    <t xml:space="preserve">C190862</t>
  </si>
  <si>
    <t xml:space="preserve">Winbond Elec</t>
  </si>
  <si>
    <t xml:space="preserve">WSON-8-EP (5x6)</t>
  </si>
  <si>
    <t xml:space="preserve">NOR flash 128Mbit SPI</t>
  </si>
  <si>
    <t xml:space="preserve">U10</t>
  </si>
  <si>
    <t xml:space="preserve">RP2040</t>
  </si>
  <si>
    <t xml:space="preserve">qfn56_40p_700x700x90_tp_320x320_mfg</t>
  </si>
  <si>
    <t xml:space="preserve">C2040</t>
  </si>
  <si>
    <t xml:space="preserve">Raspberry Pi</t>
  </si>
  <si>
    <t xml:space="preserve">LQFN-56 (7x7)</t>
  </si>
  <si>
    <t xml:space="preserve">MCU dual Cortex-M0+ 133MHz</t>
  </si>
  <si>
    <t xml:space="preserve">U11, U12</t>
  </si>
  <si>
    <t xml:space="preserve">LMR16006XDDCR</t>
  </si>
  <si>
    <t xml:space="preserve">sot6_p95_290x180x110_n</t>
  </si>
  <si>
    <t xml:space="preserve">C87080</t>
  </si>
  <si>
    <t xml:space="preserve">SOT-6</t>
  </si>
  <si>
    <t xml:space="preserve">Buck regulator 60V 600mA</t>
  </si>
  <si>
    <t xml:space="preserve">Y1</t>
  </si>
  <si>
    <t xml:space="preserve">ABM8-272-T3</t>
  </si>
  <si>
    <t xml:space="preserve">osccc_320x205x80_abm8</t>
  </si>
  <si>
    <t xml:space="preserve">C20625731</t>
  </si>
  <si>
    <t xml:space="preserve">Abracon LLC</t>
  </si>
  <si>
    <t xml:space="preserve">SMD3225-4P</t>
  </si>
  <si>
    <t xml:space="preserve">Crystal 12MHz 10pF 30ppm</t>
  </si>
  <si>
    <t xml:space="preserve">TOTAL</t>
  </si>
  <si>
    <t xml:space="preserve">Notes</t>
  </si>
  <si>
    <t xml:space="preserve">• Component data and prices come from the JLCPCB/LCSC parts API, retrieved 2026-08-23. Prices change; re-check before you order.</t>
  </si>
  <si>
    <t xml:space="preserve">• Designators, quantities, values and footprints come from PCB_files/production/bom.csv (KiCad fabrication toolkit export, rev 1.1.0).</t>
  </si>
  <si>
    <t xml:space="preserve">• Unit price is an INDEX/MATCH lookup into the Price Tiers tab against Qty/Bd x build size. Change the build sizes on the Summary tab and the prices follow.</t>
  </si>
  <si>
    <t xml:space="preserve">• Prices are component cost only. PCB fabrication, assembly labour, stencil, setup fees, extended-part fees, shipping and duty are NOT included.</t>
  </si>
  <si>
    <t xml:space="preserve">• C690105 (LTC7004EMSE#PBF) and C2887910 (INA228AIDGSR) have a minimum order quantity of 2 at LCSC.</t>
  </si>
  <si>
    <t xml:space="preserve">• Stock Status compares live JLC stock against the quantity each build size needs.</t>
  </si>
  <si>
    <t xml:space="preserve">• Not purchased, so not listed: 68 test points, 11 solder jumpers, 5 mounting holes, 3 fiducials, 1 net tie and connectors J2 and J7 (unpopulated). 209 placements out of 299 designators.</t>
  </si>
  <si>
    <t xml:space="preserve">PD240W - LCSC volume price tiers (source for BOM unit prices)</t>
  </si>
  <si>
    <t xml:space="preserve">Break quantities and unit prices as published by JLCPCB/LCSC on 2026-08-23. Short tier lists are padded by repeating the last tier so lookups stay valid. Row N here matches row N on the BOM tab.</t>
  </si>
  <si>
    <t xml:space="preserve">Break 1</t>
  </si>
  <si>
    <t xml:space="preserve">Break 2</t>
  </si>
  <si>
    <t xml:space="preserve">Break 3</t>
  </si>
  <si>
    <t xml:space="preserve">Break 4</t>
  </si>
  <si>
    <t xml:space="preserve">Break 5</t>
  </si>
  <si>
    <t xml:space="preserve">Break 6</t>
  </si>
  <si>
    <t xml:space="preserve">Price 1</t>
  </si>
  <si>
    <t xml:space="preserve">Price 2</t>
  </si>
  <si>
    <t xml:space="preserve">Price 3</t>
  </si>
  <si>
    <t xml:space="preserve">Price 4</t>
  </si>
  <si>
    <t xml:space="preserve">Price 5</t>
  </si>
  <si>
    <t xml:space="preserve">Price 6</t>
  </si>
  <si>
    <t xml:space="preserve">Min Order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</si>
</sst>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General"/>
    <numFmt numFmtId="168" formatCode="\$#,##0.0000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0404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multilayer-ceramic-capacitors-mlcc-smd-smt_yageo-cc0402krx7r0bb103_C527014.html" TargetMode="External"/><Relationship Id="rId2" Type="http://schemas.openxmlformats.org/officeDocument/2006/relationships/hyperlink" Target="https://www.lcsc.com/product-detail/multilayer-ceramic-capacitors-mlcc-smd-smt_yageo-cc0805kkx7r0bb105_C5370002.html" TargetMode="External"/><Relationship Id="rId3" Type="http://schemas.openxmlformats.org/officeDocument/2006/relationships/hyperlink" Target="https://www.lcsc.com/product-detail/multilayer-ceramic-capacitors-mlcc-smd-smt_murata-electronics-gcm32dc72a475ke02l_C913445.html" TargetMode="External"/><Relationship Id="rId4" Type="http://schemas.openxmlformats.org/officeDocument/2006/relationships/hyperlink" Target="https://www.lcsc.com/product-detail/multilayer-ceramic-capacitors-mlcc-smd-smt_samsung-electro-mechanics-cl10b104kc8nnnc_C15725.html" TargetMode="External"/><Relationship Id="rId5" Type="http://schemas.openxmlformats.org/officeDocument/2006/relationships/hyperlink" Target="https://www.lcsc.com/product-detail/multilayer-ceramic-capacitors-mlcc-smd-smt_samsung-electro-mechanics-cl05b221kb5nnnc_C296710.html" TargetMode="External"/><Relationship Id="rId6" Type="http://schemas.openxmlformats.org/officeDocument/2006/relationships/hyperlink" Target="https://www.lcsc.com/product-detail/multilayer-ceramic-capacitors-mlcc-smd-smt_murata-electronics-grm32er71j106ka12l_C437568.html" TargetMode="External"/><Relationship Id="rId7" Type="http://schemas.openxmlformats.org/officeDocument/2006/relationships/hyperlink" Target="https://www.lcsc.com/product-detail/multilayer-ceramic-capacitors-mlcc-smd-smt_cctc-tcc0603x5r335m250ct_C5360803.html" TargetMode="External"/><Relationship Id="rId8" Type="http://schemas.openxmlformats.org/officeDocument/2006/relationships/hyperlink" Target="https://www.lcsc.com/product-detail/multilayer-ceramic-capacitors-mlcc-smd-smt_chinocera-hhv0805r7225k101nslj_C22367838.html" TargetMode="External"/><Relationship Id="rId9" Type="http://schemas.openxmlformats.org/officeDocument/2006/relationships/hyperlink" Target="https://www.lcsc.com/product-detail/multilayer-ceramic-capacitors-mlcc-smd-smt_fh-guangdong-fenghua-advanced-tech-0402cg150j500nt_C1548.html" TargetMode="External"/><Relationship Id="rId10" Type="http://schemas.openxmlformats.org/officeDocument/2006/relationships/hyperlink" Target="https://www.lcsc.com/product-detail/multilayer-ceramic-capacitors-mlcc-smd-smt_samsung-electro-mechanics-cl32b226kajnnne_C309062.html" TargetMode="External"/><Relationship Id="rId11" Type="http://schemas.openxmlformats.org/officeDocument/2006/relationships/hyperlink" Target="https://www.lcsc.com/product-detail/esd-and-surge-protection-tvs-esd_hongjiacheng-smaj48a_C41376401.html" TargetMode="External"/><Relationship Id="rId12" Type="http://schemas.openxmlformats.org/officeDocument/2006/relationships/hyperlink" Target="https://www.lcsc.com/product-detail/zener-diodes_jsmsemi-bzt52c18sq_C2857090.html" TargetMode="External"/><Relationship Id="rId13" Type="http://schemas.openxmlformats.org/officeDocument/2006/relationships/hyperlink" Target="https://www.lcsc.com/product-detail/esd-and-surge-protection-tvs-esd_diodes-incorporated-d3v3f4u6s-7_C1869321.html" TargetMode="External"/><Relationship Id="rId14" Type="http://schemas.openxmlformats.org/officeDocument/2006/relationships/hyperlink" Target="https://www.lcsc.com/product-detail/schottky-diodes_diodes-incorporated-b0520lw-7-f_C155367.html" TargetMode="External"/><Relationship Id="rId15" Type="http://schemas.openxmlformats.org/officeDocument/2006/relationships/hyperlink" Target="https://www.lcsc.com/product-detail/led-indication-discrete_kingbright-aptd1608lqbc-d_C5344742.html" TargetMode="External"/><Relationship Id="rId16" Type="http://schemas.openxmlformats.org/officeDocument/2006/relationships/hyperlink" Target="https://www.lcsc.com/product-detail/rgb-leds-built-in-ic_opsco-optoelectronics-sk6812-ec20_C2909058.html" TargetMode="External"/><Relationship Id="rId17" Type="http://schemas.openxmlformats.org/officeDocument/2006/relationships/hyperlink" Target="https://www.lcsc.com/product-detail/schottky-diodes_onsemi-mbr1h100sft3g_C235757.html" TargetMode="External"/><Relationship Id="rId18" Type="http://schemas.openxmlformats.org/officeDocument/2006/relationships/hyperlink" Target="https://www.lcsc.com/product-detail/lcd-screen_hs-hs20hs072rx_C5329582.html" TargetMode="External"/><Relationship Id="rId19" Type="http://schemas.openxmlformats.org/officeDocument/2006/relationships/hyperlink" Target="https://www.lcsc.com/product-detail/resettable-fuses_fuzetec-tech-fsmd020-1206-r_C220145.html" TargetMode="External"/><Relationship Id="rId20" Type="http://schemas.openxmlformats.org/officeDocument/2006/relationships/hyperlink" Target="https://www.lcsc.com/product-detail/ferrite-beads_murata-electronics-blm18sn220th1d_C710392.html" TargetMode="External"/><Relationship Id="rId21" Type="http://schemas.openxmlformats.org/officeDocument/2006/relationships/hyperlink" Target="https://www.lcsc.com/product-detail/usb-connectors_jae-electronics-dx07s024jj2r1300_C2977282.html" TargetMode="External"/><Relationship Id="rId22" Type="http://schemas.openxmlformats.org/officeDocument/2006/relationships/hyperlink" Target="https://www.lcsc.com/product-detail/banana-connectors-alligator-clips_changzhou-amass-elec-24-245-1_C7437326.html" TargetMode="External"/><Relationship Id="rId23" Type="http://schemas.openxmlformats.org/officeDocument/2006/relationships/hyperlink" Target="https://www.lcsc.com/product-detail/banana-connectors-alligator-clips_changzhou-amass-elec-24-245-2_C7437327.html" TargetMode="External"/><Relationship Id="rId24" Type="http://schemas.openxmlformats.org/officeDocument/2006/relationships/hyperlink" Target="https://www.lcsc.com/product-detail/screw-terminal-blocks_phoenix-contact-1935776_C3817389.html" TargetMode="External"/><Relationship Id="rId25" Type="http://schemas.openxmlformats.org/officeDocument/2006/relationships/hyperlink" Target="https://www.lcsc.com/product-detail/ffc-fpc-flat-flexible-connector-assemblies_jushuo-afc07-s12fca-00_C262559.html" TargetMode="External"/><Relationship Id="rId26" Type="http://schemas.openxmlformats.org/officeDocument/2006/relationships/hyperlink" Target="https://www.lcsc.com/product-detail/power-inductors_sxn-shun-xiang-nuo-elec-smnr5040-330mt_C9390.html" TargetMode="External"/><Relationship Id="rId27" Type="http://schemas.openxmlformats.org/officeDocument/2006/relationships/hyperlink" Target="https://www.lcsc.com/product-detail/power-inductors_sunlord-swpa4030s220mt_C83472.html" TargetMode="External"/><Relationship Id="rId28" Type="http://schemas.openxmlformats.org/officeDocument/2006/relationships/hyperlink" Target="https://www.lcsc.com/product-detail/buzzers_fuet-fuet-9018_C391035.html" TargetMode="External"/><Relationship Id="rId29" Type="http://schemas.openxmlformats.org/officeDocument/2006/relationships/hyperlink" Target="https://www.lcsc.com/product-detail/mosfets_agm-semi-agm612ap_C5349119.html" TargetMode="External"/><Relationship Id="rId30" Type="http://schemas.openxmlformats.org/officeDocument/2006/relationships/hyperlink" Target="https://www.lcsc.com/product-detail/mosfets_alpha-omega-semicon-ao3404a_C30010.html" TargetMode="External"/><Relationship Id="rId31" Type="http://schemas.openxmlformats.org/officeDocument/2006/relationships/hyperlink" Target="https://www.lcsc.com/product-detail/mosfets_vishay%20intertech_sqjb90ep-t1_ge3_C727731.html" TargetMode="External"/><Relationship Id="rId32" Type="http://schemas.openxmlformats.org/officeDocument/2006/relationships/hyperlink" Target="https://www.lcsc.com/product-detail/chip-resistor-surface-mount_yageo-rc0402fr-0733kl_C138003.html" TargetMode="External"/><Relationship Id="rId33" Type="http://schemas.openxmlformats.org/officeDocument/2006/relationships/hyperlink" Target="https://www.lcsc.com/product-detail/chip-resistor-surface-mount_uni-royal-uniroyal-elec-0402wgf4701tce_C25900.html" TargetMode="External"/><Relationship Id="rId34" Type="http://schemas.openxmlformats.org/officeDocument/2006/relationships/hyperlink" Target="https://www.lcsc.com/product-detail/chip-resistor-surface-mount_uni-royal-uniroyal-elec-0402wgf1002tce_C25744.html" TargetMode="External"/><Relationship Id="rId35" Type="http://schemas.openxmlformats.org/officeDocument/2006/relationships/hyperlink" Target="https://www.lcsc.com/product-detail/chip-resistor-surface-mount_uni-royal-uniroyal-elec-0402wgf1003tce_C25741.html" TargetMode="External"/><Relationship Id="rId36" Type="http://schemas.openxmlformats.org/officeDocument/2006/relationships/hyperlink" Target="https://www.lcsc.com/product-detail/chip-resistor-surface-mount_yageo-rc0402fr-0727rl_C138021.html" TargetMode="External"/><Relationship Id="rId37" Type="http://schemas.openxmlformats.org/officeDocument/2006/relationships/hyperlink" Target="https://www.lcsc.com/product-detail/chip-resistor-surface-mount_uni-royal-uniroyal-elec-0402wgf3300tce_C25104.html" TargetMode="External"/><Relationship Id="rId38" Type="http://schemas.openxmlformats.org/officeDocument/2006/relationships/hyperlink" Target="https://www.lcsc.com/product-detail/ntc-thermistors_sunlord-sdnt1005x103f3950ftf_C95939.html" TargetMode="External"/><Relationship Id="rId39" Type="http://schemas.openxmlformats.org/officeDocument/2006/relationships/hyperlink" Target="https://www.lcsc.com/product-detail/current-sense-resistors-shunt-resistors_milliohm-hollr1206-1w-8mr-1_C2988654.html" TargetMode="External"/><Relationship Id="rId40" Type="http://schemas.openxmlformats.org/officeDocument/2006/relationships/hyperlink" Target="https://www.lcsc.com/product-detail/chip-resistor-surface-mount_uni-royal-uniroyal-elec-0402wgf1001tce_C11702.html" TargetMode="External"/><Relationship Id="rId41" Type="http://schemas.openxmlformats.org/officeDocument/2006/relationships/hyperlink" Target="https://www.lcsc.com/product-detail/chip-resistor-surface-mount_fojan-frc0402f3r90ts_C2933095.html" TargetMode="External"/><Relationship Id="rId42" Type="http://schemas.openxmlformats.org/officeDocument/2006/relationships/hyperlink" Target="https://www.lcsc.com/product-detail/tactile-switches_panasonic-evqpuc02k_C79174.html" TargetMode="External"/><Relationship Id="rId43" Type="http://schemas.openxmlformats.org/officeDocument/2006/relationships/hyperlink" Target="https://www.lcsc.com/product-detail/tactile-switches_g-switch-gt-tc120a-h120-l1_C2762973.html" TargetMode="External"/><Relationship Id="rId44" Type="http://schemas.openxmlformats.org/officeDocument/2006/relationships/hyperlink" Target="https://www.lcsc.com/product-detail/rotary-encoders_bourns-pec11r-4215f-s0024_C143790.html" TargetMode="External"/><Relationship Id="rId45" Type="http://schemas.openxmlformats.org/officeDocument/2006/relationships/hyperlink" Target="https://www.lcsc.com/products/C43131250.html" TargetMode="External"/><Relationship Id="rId46" Type="http://schemas.openxmlformats.org/officeDocument/2006/relationships/hyperlink" Target="https://www.lcsc.com/products/C42166327.html" TargetMode="External"/><Relationship Id="rId47" Type="http://schemas.openxmlformats.org/officeDocument/2006/relationships/hyperlink" Target="https://www.lcsc.com/product-detail/eeprom_onsemi-cat24c512yi-gt3_C56096.html" TargetMode="External"/><Relationship Id="rId48" Type="http://schemas.openxmlformats.org/officeDocument/2006/relationships/hyperlink" Target="https://www.lcsc.com/product-detail/charge-pumps_texas-instruments-lm2765m6x-nopb_C140270.html" TargetMode="External"/><Relationship Id="rId49" Type="http://schemas.openxmlformats.org/officeDocument/2006/relationships/hyperlink" Target="https://www.lcsc.com/product-detail/logic-gates_diodes-incorporated-74lvc1g08se-7_C460522.html" TargetMode="External"/><Relationship Id="rId50" Type="http://schemas.openxmlformats.org/officeDocument/2006/relationships/hyperlink" Target="https://www.lcsc.com/product-detail/gate-drivers_analog-devices-ltc7004emse-pbf_C690105.html" TargetMode="External"/><Relationship Id="rId51" Type="http://schemas.openxmlformats.org/officeDocument/2006/relationships/hyperlink" Target="https://www.lcsc.com/product-detail/current-sense-amplifiers_texas-instruments-ina228aidgsr_C2887910.html" TargetMode="External"/><Relationship Id="rId52" Type="http://schemas.openxmlformats.org/officeDocument/2006/relationships/hyperlink" Target="https://www.lcsc.com/product-detail/buffers-drivers-receivers-transceivers_texas-instruments-sn74lvc1g17dbvr_C7836.html" TargetMode="External"/><Relationship Id="rId53" Type="http://schemas.openxmlformats.org/officeDocument/2006/relationships/hyperlink" Target="https://www.lcsc.com/product-detail/nor-flash_winbond-elec-w25q128jvpiq_C190862.html" TargetMode="External"/><Relationship Id="rId54" Type="http://schemas.openxmlformats.org/officeDocument/2006/relationships/hyperlink" Target="https://www.lcsc.com/product-detail/microcontrollers-mcu-mpu-soc_raspberry-pi-rp2040_C2040.html" TargetMode="External"/><Relationship Id="rId55" Type="http://schemas.openxmlformats.org/officeDocument/2006/relationships/hyperlink" Target="https://www.lcsc.com/product-detail/dc-dc-converters_texas-instruments-lmr16006xddcr_C87080.html" TargetMode="External"/><Relationship Id="rId56" Type="http://schemas.openxmlformats.org/officeDocument/2006/relationships/hyperlink" Target="https://www.lcsc.com/product-detail/crystals_abracon-llc-abm8-272-t3_C20625731.html" TargetMode="External"/><Relationship Id="rId5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 t="n">
        <v>1</v>
      </c>
    </row>
    <row r="7" customFormat="false" ht="15" hidden="false" customHeight="false" outlineLevel="0" collapsed="false">
      <c r="A7" s="4" t="s">
        <v>4</v>
      </c>
      <c r="B7" s="5" t="n">
        <v>10</v>
      </c>
    </row>
    <row r="8" customFormat="false" ht="15" hidden="false" customHeight="false" outlineLevel="0" collapsed="false">
      <c r="A8" s="4" t="s">
        <v>5</v>
      </c>
      <c r="B8" s="5" t="n">
        <v>100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4" t="s">
        <v>7</v>
      </c>
      <c r="B11" s="6" t="n">
        <f aca="false">COUNTA(BOM!F5:F60)</f>
        <v>56</v>
      </c>
    </row>
    <row r="12" customFormat="false" ht="15" hidden="false" customHeight="false" outlineLevel="0" collapsed="false">
      <c r="A12" s="4" t="s">
        <v>8</v>
      </c>
      <c r="B12" s="6" t="n">
        <f aca="false">SUM(BOM!C5:C60)</f>
        <v>209</v>
      </c>
    </row>
    <row r="13" customFormat="false" ht="15" hidden="false" customHeight="false" outlineLevel="0" collapsed="false">
      <c r="A13" s="4" t="s">
        <v>9</v>
      </c>
      <c r="B13" s="6" t="n">
        <f aca="false">COUNTIF(BOM!J5:J60,"Basic")</f>
        <v>6</v>
      </c>
    </row>
    <row r="14" customFormat="false" ht="15" hidden="false" customHeight="false" outlineLevel="0" collapsed="false">
      <c r="A14" s="4" t="s">
        <v>10</v>
      </c>
      <c r="B14" s="6" t="n">
        <f aca="false">COUNTIF(BOM!J5:J60,"Preferred")</f>
        <v>1</v>
      </c>
    </row>
    <row r="15" customFormat="false" ht="15" hidden="false" customHeight="false" outlineLevel="0" collapsed="false">
      <c r="A15" s="4" t="s">
        <v>11</v>
      </c>
      <c r="B15" s="6" t="n">
        <f aca="false">COUNTIF(BOM!J5:J60,"Extended")</f>
        <v>49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7" t="s">
        <v>13</v>
      </c>
      <c r="B19" s="7" t="s">
        <v>14</v>
      </c>
      <c r="C19" s="7" t="s">
        <v>15</v>
      </c>
    </row>
    <row r="20" customFormat="false" ht="15" hidden="false" customHeight="false" outlineLevel="0" collapsed="false">
      <c r="A20" s="6" t="n">
        <f aca="false">B6</f>
        <v>1</v>
      </c>
      <c r="B20" s="8" t="n">
        <f aca="false">BOM!N61</f>
        <v>58.7997</v>
      </c>
      <c r="C20" s="8" t="n">
        <f aca="false">IF(B6=0,0,B20/B6)</f>
        <v>58.7997</v>
      </c>
    </row>
    <row r="21" customFormat="false" ht="15" hidden="false" customHeight="false" outlineLevel="0" collapsed="false">
      <c r="A21" s="6" t="n">
        <f aca="false">B7</f>
        <v>10</v>
      </c>
      <c r="B21" s="8" t="n">
        <f aca="false">BOM!P61</f>
        <v>522.614</v>
      </c>
      <c r="C21" s="8" t="n">
        <f aca="false">IF(B7=0,0,B21/B7)</f>
        <v>52.2614</v>
      </c>
    </row>
    <row r="22" customFormat="false" ht="15" hidden="false" customHeight="false" outlineLevel="0" collapsed="false">
      <c r="A22" s="6" t="n">
        <f aca="false">B8</f>
        <v>100</v>
      </c>
      <c r="B22" s="8" t="n">
        <f aca="false">BOM!R61</f>
        <v>4489.81</v>
      </c>
      <c r="C22" s="8" t="n">
        <f aca="false">IF(B8=0,0,B22/B8)</f>
        <v>44.8981</v>
      </c>
    </row>
    <row r="25" customFormat="false" ht="15" hidden="false" customHeight="false" outlineLevel="0" collapsed="false">
      <c r="A25" s="3" t="s">
        <v>16</v>
      </c>
    </row>
    <row r="26" customFormat="false" ht="15" hidden="false" customHeight="false" outlineLevel="0" collapsed="false">
      <c r="A26" s="4" t="s">
        <v>17</v>
      </c>
      <c r="B26" s="9" t="n">
        <f aca="false">COUNTIF(BOM!S5:S60,"OUT OF STOCK")</f>
        <v>1</v>
      </c>
    </row>
    <row r="27" customFormat="false" ht="15" hidden="false" customHeight="false" outlineLevel="0" collapsed="false">
      <c r="A27" s="4" t="s">
        <v>18</v>
      </c>
      <c r="B27" s="9" t="n">
        <f aca="false">COUNTIF(BOM!S5:S60,"Low - under 10-board need")</f>
        <v>1</v>
      </c>
    </row>
    <row r="28" customFormat="false" ht="15" hidden="false" customHeight="false" outlineLevel="0" collapsed="false">
      <c r="A28" s="4" t="s">
        <v>19</v>
      </c>
      <c r="B28" s="9" t="n">
        <f aca="false">COUNTIF(BOM!S5:S60,"Tight - under 100-board need")</f>
        <v>2</v>
      </c>
    </row>
    <row r="31" customFormat="false" ht="15" hidden="false" customHeight="false" outlineLevel="0" collapsed="false">
      <c r="A31" s="10" t="s">
        <v>20</v>
      </c>
    </row>
    <row r="32" customFormat="false" ht="15" hidden="false" customHeight="false" outlineLevel="0" collapsed="false">
      <c r="A32" s="1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8" min="7" style="0" width="24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2"/>
    <col collapsed="false" customWidth="true" hidden="false" outlineLevel="0" max="18" min="13" style="0" width="12"/>
    <col collapsed="false" customWidth="true" hidden="false" outlineLevel="0" max="19" min="19" style="0" width="24"/>
    <col collapsed="false" customWidth="true" hidden="false" outlineLevel="0" max="20" min="20" style="0" width="9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1.5" hidden="false" customHeight="true" outlineLevel="0" collapsed="false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36</v>
      </c>
      <c r="N4" s="11" t="s">
        <v>37</v>
      </c>
      <c r="O4" s="11" t="s">
        <v>38</v>
      </c>
      <c r="P4" s="11" t="s">
        <v>39</v>
      </c>
      <c r="Q4" s="11" t="s">
        <v>40</v>
      </c>
      <c r="R4" s="11" t="s">
        <v>41</v>
      </c>
      <c r="S4" s="11" t="s">
        <v>42</v>
      </c>
      <c r="T4" s="11" t="s">
        <v>43</v>
      </c>
    </row>
    <row r="5" customFormat="false" ht="15" hidden="false" customHeight="false" outlineLevel="0" collapsed="false">
      <c r="A5" s="12" t="n">
        <v>1</v>
      </c>
      <c r="B5" s="13" t="s">
        <v>44</v>
      </c>
      <c r="C5" s="12" t="n">
        <v>3</v>
      </c>
      <c r="D5" s="12" t="s">
        <v>45</v>
      </c>
      <c r="E5" s="12" t="s">
        <v>46</v>
      </c>
      <c r="F5" s="12" t="s">
        <v>47</v>
      </c>
      <c r="G5" s="12" t="s">
        <v>48</v>
      </c>
      <c r="H5" s="12" t="s">
        <v>49</v>
      </c>
      <c r="I5" s="12" t="s">
        <v>50</v>
      </c>
      <c r="J5" s="12" t="s">
        <v>51</v>
      </c>
      <c r="K5" s="14" t="n">
        <v>338390</v>
      </c>
      <c r="L5" s="12" t="s">
        <v>52</v>
      </c>
      <c r="M5" s="15" t="n">
        <f aca="false">INDEX('Price Tiers'!$H5:$M5,MATCH($C5*Summary!$B$6,'Price Tiers'!$B5:$G5,1))</f>
        <v>0.0129</v>
      </c>
      <c r="N5" s="16" t="n">
        <f aca="false">$C5*Summary!$B$6*M5</f>
        <v>0.0387</v>
      </c>
      <c r="O5" s="15" t="n">
        <f aca="false">INDEX('Price Tiers'!$H5:$M5,MATCH($C5*Summary!$B$7,'Price Tiers'!$B5:$G5,1))</f>
        <v>0.0129</v>
      </c>
      <c r="P5" s="16" t="n">
        <f aca="false">$C5*Summary!$B$7*O5</f>
        <v>0.387</v>
      </c>
      <c r="Q5" s="15" t="n">
        <f aca="false">INDEX('Price Tiers'!$H5:$M5,MATCH($C5*Summary!$B$8,'Price Tiers'!$B5:$G5,1))</f>
        <v>0.0129</v>
      </c>
      <c r="R5" s="16" t="n">
        <f aca="false">$C5*Summary!$B$8*Q5</f>
        <v>3.87</v>
      </c>
      <c r="S5" s="12" t="s">
        <v>53</v>
      </c>
      <c r="T5" s="17" t="s">
        <v>54</v>
      </c>
    </row>
    <row r="6" customFormat="false" ht="23.85" hidden="false" customHeight="false" outlineLevel="0" collapsed="false">
      <c r="A6" s="12" t="n">
        <v>2</v>
      </c>
      <c r="B6" s="13" t="s">
        <v>55</v>
      </c>
      <c r="C6" s="12" t="n">
        <v>13</v>
      </c>
      <c r="D6" s="12" t="s">
        <v>56</v>
      </c>
      <c r="E6" s="12" t="s">
        <v>57</v>
      </c>
      <c r="F6" s="12" t="s">
        <v>58</v>
      </c>
      <c r="G6" s="12" t="s">
        <v>59</v>
      </c>
      <c r="H6" s="12" t="s">
        <v>49</v>
      </c>
      <c r="I6" s="12" t="s">
        <v>60</v>
      </c>
      <c r="J6" s="12" t="s">
        <v>51</v>
      </c>
      <c r="K6" s="14" t="n">
        <v>436703</v>
      </c>
      <c r="L6" s="12" t="s">
        <v>61</v>
      </c>
      <c r="M6" s="15" t="n">
        <f aca="false">INDEX('Price Tiers'!$H6:$M6,MATCH($C6*Summary!$B$6,'Price Tiers'!$B6:$G6,1))</f>
        <v>0.1064</v>
      </c>
      <c r="N6" s="16" t="n">
        <f aca="false">$C6*Summary!$B$6*M6</f>
        <v>1.3832</v>
      </c>
      <c r="O6" s="15" t="n">
        <f aca="false">INDEX('Price Tiers'!$H6:$M6,MATCH($C6*Summary!$B$7,'Price Tiers'!$B6:$G6,1))</f>
        <v>0.0941</v>
      </c>
      <c r="P6" s="16" t="n">
        <f aca="false">$C6*Summary!$B$7*O6</f>
        <v>12.233</v>
      </c>
      <c r="Q6" s="15" t="n">
        <f aca="false">INDEX('Price Tiers'!$H6:$M6,MATCH($C6*Summary!$B$8,'Price Tiers'!$B6:$G6,1))</f>
        <v>0.0877</v>
      </c>
      <c r="R6" s="16" t="n">
        <f aca="false">$C6*Summary!$B$8*Q6</f>
        <v>114.01</v>
      </c>
      <c r="S6" s="12" t="s">
        <v>53</v>
      </c>
      <c r="T6" s="17" t="s">
        <v>54</v>
      </c>
    </row>
    <row r="7" customFormat="false" ht="15" hidden="false" customHeight="false" outlineLevel="0" collapsed="false">
      <c r="A7" s="12" t="n">
        <v>3</v>
      </c>
      <c r="B7" s="13" t="s">
        <v>62</v>
      </c>
      <c r="C7" s="12" t="n">
        <v>1</v>
      </c>
      <c r="D7" s="12" t="s">
        <v>63</v>
      </c>
      <c r="E7" s="12" t="s">
        <v>64</v>
      </c>
      <c r="F7" s="12" t="s">
        <v>65</v>
      </c>
      <c r="G7" s="12" t="s">
        <v>66</v>
      </c>
      <c r="H7" s="12" t="s">
        <v>67</v>
      </c>
      <c r="I7" s="12" t="s">
        <v>68</v>
      </c>
      <c r="J7" s="12" t="s">
        <v>51</v>
      </c>
      <c r="K7" s="14" t="n">
        <v>53357</v>
      </c>
      <c r="L7" s="12" t="s">
        <v>69</v>
      </c>
      <c r="M7" s="15" t="n">
        <f aca="false">INDEX('Price Tiers'!$H7:$M7,MATCH($C7*Summary!$B$6,'Price Tiers'!$B7:$G7,1))</f>
        <v>0.9111</v>
      </c>
      <c r="N7" s="16" t="n">
        <f aca="false">$C7*Summary!$B$6*M7</f>
        <v>0.9111</v>
      </c>
      <c r="O7" s="15" t="n">
        <f aca="false">INDEX('Price Tiers'!$H7:$M7,MATCH($C7*Summary!$B$7,'Price Tiers'!$B7:$G7,1))</f>
        <v>0.8056</v>
      </c>
      <c r="P7" s="16" t="n">
        <f aca="false">$C7*Summary!$B$7*O7</f>
        <v>8.056</v>
      </c>
      <c r="Q7" s="15" t="n">
        <f aca="false">INDEX('Price Tiers'!$H7:$M7,MATCH($C7*Summary!$B$8,'Price Tiers'!$B7:$G7,1))</f>
        <v>0.7032</v>
      </c>
      <c r="R7" s="16" t="n">
        <f aca="false">$C7*Summary!$B$8*Q7</f>
        <v>70.32</v>
      </c>
      <c r="S7" s="12" t="s">
        <v>53</v>
      </c>
      <c r="T7" s="17" t="s">
        <v>54</v>
      </c>
    </row>
    <row r="8" customFormat="false" ht="57.45" hidden="false" customHeight="false" outlineLevel="0" collapsed="false">
      <c r="A8" s="12" t="n">
        <v>4</v>
      </c>
      <c r="B8" s="13" t="s">
        <v>70</v>
      </c>
      <c r="C8" s="12" t="n">
        <v>32</v>
      </c>
      <c r="D8" s="12" t="s">
        <v>71</v>
      </c>
      <c r="E8" s="12" t="s">
        <v>72</v>
      </c>
      <c r="F8" s="12" t="s">
        <v>73</v>
      </c>
      <c r="G8" s="12" t="s">
        <v>74</v>
      </c>
      <c r="H8" s="12" t="s">
        <v>75</v>
      </c>
      <c r="I8" s="12" t="s">
        <v>76</v>
      </c>
      <c r="J8" s="12" t="s">
        <v>51</v>
      </c>
      <c r="K8" s="14" t="n">
        <v>1233663</v>
      </c>
      <c r="L8" s="12" t="s">
        <v>77</v>
      </c>
      <c r="M8" s="15" t="n">
        <f aca="false">INDEX('Price Tiers'!$H8:$M8,MATCH($C8*Summary!$B$6,'Price Tiers'!$B8:$G8,1))</f>
        <v>0.0157</v>
      </c>
      <c r="N8" s="16" t="n">
        <f aca="false">$C8*Summary!$B$6*M8</f>
        <v>0.5024</v>
      </c>
      <c r="O8" s="15" t="n">
        <f aca="false">INDEX('Price Tiers'!$H8:$M8,MATCH($C8*Summary!$B$7,'Price Tiers'!$B8:$G8,1))</f>
        <v>0.0157</v>
      </c>
      <c r="P8" s="16" t="n">
        <f aca="false">$C8*Summary!$B$7*O8</f>
        <v>5.024</v>
      </c>
      <c r="Q8" s="15" t="n">
        <f aca="false">INDEX('Price Tiers'!$H8:$M8,MATCH($C8*Summary!$B$8,'Price Tiers'!$B8:$G8,1))</f>
        <v>0.0104</v>
      </c>
      <c r="R8" s="16" t="n">
        <f aca="false">$C8*Summary!$B$8*Q8</f>
        <v>33.28</v>
      </c>
      <c r="S8" s="12" t="s">
        <v>53</v>
      </c>
      <c r="T8" s="17" t="s">
        <v>54</v>
      </c>
    </row>
    <row r="9" customFormat="false" ht="15" hidden="false" customHeight="false" outlineLevel="0" collapsed="false">
      <c r="A9" s="12" t="n">
        <v>5</v>
      </c>
      <c r="B9" s="13" t="s">
        <v>78</v>
      </c>
      <c r="C9" s="12" t="n">
        <v>2</v>
      </c>
      <c r="D9" s="12" t="s">
        <v>79</v>
      </c>
      <c r="E9" s="12" t="s">
        <v>80</v>
      </c>
      <c r="F9" s="12" t="s">
        <v>81</v>
      </c>
      <c r="G9" s="12" t="s">
        <v>82</v>
      </c>
      <c r="H9" s="12" t="s">
        <v>75</v>
      </c>
      <c r="I9" s="12" t="s">
        <v>50</v>
      </c>
      <c r="J9" s="12" t="s">
        <v>51</v>
      </c>
      <c r="K9" s="14" t="n">
        <v>119508</v>
      </c>
      <c r="L9" s="12" t="s">
        <v>83</v>
      </c>
      <c r="M9" s="15" t="n">
        <f aca="false">INDEX('Price Tiers'!$H9:$M9,MATCH($C9*Summary!$B$6,'Price Tiers'!$B9:$G9,1))</f>
        <v>0.0056</v>
      </c>
      <c r="N9" s="16" t="n">
        <f aca="false">$C9*Summary!$B$6*M9</f>
        <v>0.0112</v>
      </c>
      <c r="O9" s="15" t="n">
        <f aca="false">INDEX('Price Tiers'!$H9:$M9,MATCH($C9*Summary!$B$7,'Price Tiers'!$B9:$G9,1))</f>
        <v>0.0056</v>
      </c>
      <c r="P9" s="16" t="n">
        <f aca="false">$C9*Summary!$B$7*O9</f>
        <v>0.112</v>
      </c>
      <c r="Q9" s="15" t="n">
        <f aca="false">INDEX('Price Tiers'!$H9:$M9,MATCH($C9*Summary!$B$8,'Price Tiers'!$B9:$G9,1))</f>
        <v>0.0056</v>
      </c>
      <c r="R9" s="16" t="n">
        <f aca="false">$C9*Summary!$B$8*Q9</f>
        <v>1.12</v>
      </c>
      <c r="S9" s="12" t="s">
        <v>53</v>
      </c>
      <c r="T9" s="17" t="s">
        <v>54</v>
      </c>
    </row>
    <row r="10" customFormat="false" ht="23.85" hidden="false" customHeight="false" outlineLevel="0" collapsed="false">
      <c r="A10" s="12" t="n">
        <v>6</v>
      </c>
      <c r="B10" s="13" t="s">
        <v>84</v>
      </c>
      <c r="C10" s="12" t="n">
        <v>9</v>
      </c>
      <c r="D10" s="12" t="s">
        <v>85</v>
      </c>
      <c r="E10" s="12" t="s">
        <v>86</v>
      </c>
      <c r="F10" s="12" t="s">
        <v>87</v>
      </c>
      <c r="G10" s="12" t="s">
        <v>88</v>
      </c>
      <c r="H10" s="12" t="s">
        <v>67</v>
      </c>
      <c r="I10" s="12" t="s">
        <v>68</v>
      </c>
      <c r="J10" s="12" t="s">
        <v>51</v>
      </c>
      <c r="K10" s="14" t="n">
        <v>29931</v>
      </c>
      <c r="L10" s="12" t="s">
        <v>89</v>
      </c>
      <c r="M10" s="15" t="n">
        <f aca="false">INDEX('Price Tiers'!$H10:$M10,MATCH($C10*Summary!$B$6,'Price Tiers'!$B10:$G10,1))</f>
        <v>0.9046</v>
      </c>
      <c r="N10" s="16" t="n">
        <f aca="false">$C10*Summary!$B$6*M10</f>
        <v>8.1414</v>
      </c>
      <c r="O10" s="15" t="n">
        <f aca="false">INDEX('Price Tiers'!$H10:$M10,MATCH($C10*Summary!$B$7,'Price Tiers'!$B10:$G10,1))</f>
        <v>0.7406</v>
      </c>
      <c r="P10" s="16" t="n">
        <f aca="false">$C10*Summary!$B$7*O10</f>
        <v>66.654</v>
      </c>
      <c r="Q10" s="15" t="n">
        <f aca="false">INDEX('Price Tiers'!$H10:$M10,MATCH($C10*Summary!$B$8,'Price Tiers'!$B10:$G10,1))</f>
        <v>0.6805</v>
      </c>
      <c r="R10" s="16" t="n">
        <f aca="false">$C10*Summary!$B$8*Q10</f>
        <v>612.45</v>
      </c>
      <c r="S10" s="12" t="s">
        <v>53</v>
      </c>
      <c r="T10" s="17" t="s">
        <v>54</v>
      </c>
    </row>
    <row r="11" customFormat="false" ht="15" hidden="false" customHeight="false" outlineLevel="0" collapsed="false">
      <c r="A11" s="12" t="n">
        <v>7</v>
      </c>
      <c r="B11" s="13" t="s">
        <v>90</v>
      </c>
      <c r="C11" s="12" t="n">
        <v>3</v>
      </c>
      <c r="D11" s="12" t="s">
        <v>91</v>
      </c>
      <c r="E11" s="12" t="s">
        <v>92</v>
      </c>
      <c r="F11" s="12" t="s">
        <v>93</v>
      </c>
      <c r="G11" s="12" t="s">
        <v>94</v>
      </c>
      <c r="H11" s="12" t="s">
        <v>95</v>
      </c>
      <c r="I11" s="12" t="s">
        <v>76</v>
      </c>
      <c r="J11" s="12" t="s">
        <v>51</v>
      </c>
      <c r="K11" s="14" t="n">
        <v>101843</v>
      </c>
      <c r="L11" s="12" t="s">
        <v>96</v>
      </c>
      <c r="M11" s="15" t="n">
        <f aca="false">INDEX('Price Tiers'!$H11:$M11,MATCH($C11*Summary!$B$6,'Price Tiers'!$B11:$G11,1))</f>
        <v>0.027</v>
      </c>
      <c r="N11" s="16" t="n">
        <f aca="false">$C11*Summary!$B$6*M11</f>
        <v>0.081</v>
      </c>
      <c r="O11" s="15" t="n">
        <f aca="false">INDEX('Price Tiers'!$H11:$M11,MATCH($C11*Summary!$B$7,'Price Tiers'!$B11:$G11,1))</f>
        <v>0.027</v>
      </c>
      <c r="P11" s="16" t="n">
        <f aca="false">$C11*Summary!$B$7*O11</f>
        <v>0.81</v>
      </c>
      <c r="Q11" s="15" t="n">
        <f aca="false">INDEX('Price Tiers'!$H11:$M11,MATCH($C11*Summary!$B$8,'Price Tiers'!$B11:$G11,1))</f>
        <v>0.0215</v>
      </c>
      <c r="R11" s="16" t="n">
        <f aca="false">$C11*Summary!$B$8*Q11</f>
        <v>6.45</v>
      </c>
      <c r="S11" s="12" t="s">
        <v>53</v>
      </c>
      <c r="T11" s="17" t="s">
        <v>54</v>
      </c>
    </row>
    <row r="12" customFormat="false" ht="15" hidden="false" customHeight="false" outlineLevel="0" collapsed="false">
      <c r="A12" s="12" t="n">
        <v>8</v>
      </c>
      <c r="B12" s="13" t="s">
        <v>97</v>
      </c>
      <c r="C12" s="12" t="n">
        <v>1</v>
      </c>
      <c r="D12" s="12" t="s">
        <v>98</v>
      </c>
      <c r="E12" s="12" t="s">
        <v>99</v>
      </c>
      <c r="F12" s="12" t="s">
        <v>100</v>
      </c>
      <c r="G12" s="12" t="s">
        <v>101</v>
      </c>
      <c r="H12" s="12" t="s">
        <v>102</v>
      </c>
      <c r="I12" s="12" t="s">
        <v>60</v>
      </c>
      <c r="J12" s="12" t="s">
        <v>51</v>
      </c>
      <c r="K12" s="14" t="n">
        <v>103869</v>
      </c>
      <c r="L12" s="12" t="s">
        <v>103</v>
      </c>
      <c r="M12" s="15" t="n">
        <f aca="false">INDEX('Price Tiers'!$H12:$M12,MATCH($C12*Summary!$B$6,'Price Tiers'!$B12:$G12,1))</f>
        <v>0.3557</v>
      </c>
      <c r="N12" s="16" t="n">
        <f aca="false">$C12*Summary!$B$6*M12</f>
        <v>0.3557</v>
      </c>
      <c r="O12" s="15" t="n">
        <f aca="false">INDEX('Price Tiers'!$H12:$M12,MATCH($C12*Summary!$B$7,'Price Tiers'!$B12:$G12,1))</f>
        <v>0.2745</v>
      </c>
      <c r="P12" s="16" t="n">
        <f aca="false">$C12*Summary!$B$7*O12</f>
        <v>2.745</v>
      </c>
      <c r="Q12" s="15" t="n">
        <f aca="false">INDEX('Price Tiers'!$H12:$M12,MATCH($C12*Summary!$B$8,'Price Tiers'!$B12:$G12,1))</f>
        <v>0.1998</v>
      </c>
      <c r="R12" s="16" t="n">
        <f aca="false">$C12*Summary!$B$8*Q12</f>
        <v>19.98</v>
      </c>
      <c r="S12" s="12" t="s">
        <v>53</v>
      </c>
      <c r="T12" s="17" t="s">
        <v>54</v>
      </c>
    </row>
    <row r="13" customFormat="false" ht="15" hidden="false" customHeight="false" outlineLevel="0" collapsed="false">
      <c r="A13" s="12" t="n">
        <v>9</v>
      </c>
      <c r="B13" s="13" t="s">
        <v>104</v>
      </c>
      <c r="C13" s="12" t="n">
        <v>2</v>
      </c>
      <c r="D13" s="12" t="s">
        <v>105</v>
      </c>
      <c r="E13" s="12" t="s">
        <v>46</v>
      </c>
      <c r="F13" s="12" t="s">
        <v>106</v>
      </c>
      <c r="G13" s="12" t="s">
        <v>107</v>
      </c>
      <c r="H13" s="12" t="s">
        <v>108</v>
      </c>
      <c r="I13" s="12" t="s">
        <v>50</v>
      </c>
      <c r="J13" s="12" t="s">
        <v>109</v>
      </c>
      <c r="K13" s="14" t="n">
        <v>2022686</v>
      </c>
      <c r="L13" s="12" t="s">
        <v>110</v>
      </c>
      <c r="M13" s="15" t="n">
        <f aca="false">INDEX('Price Tiers'!$H13:$M13,MATCH($C13*Summary!$B$6,'Price Tiers'!$B13:$G13,1))</f>
        <v>0.0047</v>
      </c>
      <c r="N13" s="16" t="n">
        <f aca="false">$C13*Summary!$B$6*M13</f>
        <v>0.0094</v>
      </c>
      <c r="O13" s="15" t="n">
        <f aca="false">INDEX('Price Tiers'!$H13:$M13,MATCH($C13*Summary!$B$7,'Price Tiers'!$B13:$G13,1))</f>
        <v>0.0047</v>
      </c>
      <c r="P13" s="16" t="n">
        <f aca="false">$C13*Summary!$B$7*O13</f>
        <v>0.094</v>
      </c>
      <c r="Q13" s="15" t="n">
        <f aca="false">INDEX('Price Tiers'!$H13:$M13,MATCH($C13*Summary!$B$8,'Price Tiers'!$B13:$G13,1))</f>
        <v>0.0047</v>
      </c>
      <c r="R13" s="16" t="n">
        <f aca="false">$C13*Summary!$B$8*Q13</f>
        <v>0.94</v>
      </c>
      <c r="S13" s="12" t="s">
        <v>53</v>
      </c>
      <c r="T13" s="17" t="s">
        <v>54</v>
      </c>
    </row>
    <row r="14" customFormat="false" ht="15" hidden="false" customHeight="false" outlineLevel="0" collapsed="false">
      <c r="A14" s="12" t="n">
        <v>10</v>
      </c>
      <c r="B14" s="13" t="s">
        <v>111</v>
      </c>
      <c r="C14" s="12" t="n">
        <v>1</v>
      </c>
      <c r="D14" s="12" t="s">
        <v>112</v>
      </c>
      <c r="E14" s="12" t="s">
        <v>86</v>
      </c>
      <c r="F14" s="12" t="s">
        <v>113</v>
      </c>
      <c r="G14" s="12" t="s">
        <v>114</v>
      </c>
      <c r="H14" s="12" t="s">
        <v>75</v>
      </c>
      <c r="I14" s="12" t="s">
        <v>68</v>
      </c>
      <c r="J14" s="12" t="s">
        <v>51</v>
      </c>
      <c r="K14" s="14" t="n">
        <v>349290</v>
      </c>
      <c r="L14" s="12" t="s">
        <v>115</v>
      </c>
      <c r="M14" s="15" t="n">
        <f aca="false">INDEX('Price Tiers'!$H14:$M14,MATCH($C14*Summary!$B$6,'Price Tiers'!$B14:$G14,1))</f>
        <v>0.3703</v>
      </c>
      <c r="N14" s="16" t="n">
        <f aca="false">$C14*Summary!$B$6*M14</f>
        <v>0.3703</v>
      </c>
      <c r="O14" s="15" t="n">
        <f aca="false">INDEX('Price Tiers'!$H14:$M14,MATCH($C14*Summary!$B$7,'Price Tiers'!$B14:$G14,1))</f>
        <v>0.2979</v>
      </c>
      <c r="P14" s="16" t="n">
        <f aca="false">$C14*Summary!$B$7*O14</f>
        <v>2.979</v>
      </c>
      <c r="Q14" s="15" t="n">
        <f aca="false">INDEX('Price Tiers'!$H14:$M14,MATCH($C14*Summary!$B$8,'Price Tiers'!$B14:$G14,1))</f>
        <v>0.2311</v>
      </c>
      <c r="R14" s="16" t="n">
        <f aca="false">$C14*Summary!$B$8*Q14</f>
        <v>23.11</v>
      </c>
      <c r="S14" s="12" t="s">
        <v>53</v>
      </c>
      <c r="T14" s="17" t="s">
        <v>54</v>
      </c>
    </row>
    <row r="15" customFormat="false" ht="15" hidden="false" customHeight="false" outlineLevel="0" collapsed="false">
      <c r="A15" s="12" t="n">
        <v>11</v>
      </c>
      <c r="B15" s="13" t="s">
        <v>116</v>
      </c>
      <c r="C15" s="12" t="n">
        <v>2</v>
      </c>
      <c r="D15" s="12" t="s">
        <v>117</v>
      </c>
      <c r="E15" s="12" t="s">
        <v>118</v>
      </c>
      <c r="F15" s="12" t="s">
        <v>119</v>
      </c>
      <c r="G15" s="12" t="s">
        <v>117</v>
      </c>
      <c r="H15" s="12" t="s">
        <v>120</v>
      </c>
      <c r="I15" s="12" t="s">
        <v>121</v>
      </c>
      <c r="J15" s="12" t="s">
        <v>122</v>
      </c>
      <c r="K15" s="14" t="n">
        <v>34117</v>
      </c>
      <c r="L15" s="12" t="s">
        <v>123</v>
      </c>
      <c r="M15" s="15" t="n">
        <f aca="false">INDEX('Price Tiers'!$H15:$M15,MATCH($C15*Summary!$B$6,'Price Tiers'!$B15:$G15,1))</f>
        <v>0.0372</v>
      </c>
      <c r="N15" s="16" t="n">
        <f aca="false">$C15*Summary!$B$6*M15</f>
        <v>0.0744</v>
      </c>
      <c r="O15" s="15" t="n">
        <f aca="false">INDEX('Price Tiers'!$H15:$M15,MATCH($C15*Summary!$B$7,'Price Tiers'!$B15:$G15,1))</f>
        <v>0.0372</v>
      </c>
      <c r="P15" s="16" t="n">
        <f aca="false">$C15*Summary!$B$7*O15</f>
        <v>0.744</v>
      </c>
      <c r="Q15" s="15" t="n">
        <f aca="false">INDEX('Price Tiers'!$H15:$M15,MATCH($C15*Summary!$B$8,'Price Tiers'!$B15:$G15,1))</f>
        <v>0.0294</v>
      </c>
      <c r="R15" s="16" t="n">
        <f aca="false">$C15*Summary!$B$8*Q15</f>
        <v>5.88</v>
      </c>
      <c r="S15" s="12" t="s">
        <v>53</v>
      </c>
      <c r="T15" s="17" t="s">
        <v>54</v>
      </c>
    </row>
    <row r="16" customFormat="false" ht="15" hidden="false" customHeight="false" outlineLevel="0" collapsed="false">
      <c r="A16" s="12" t="n">
        <v>12</v>
      </c>
      <c r="B16" s="13" t="s">
        <v>124</v>
      </c>
      <c r="C16" s="12" t="n">
        <v>2</v>
      </c>
      <c r="D16" s="12" t="s">
        <v>125</v>
      </c>
      <c r="E16" s="12" t="s">
        <v>126</v>
      </c>
      <c r="F16" s="12" t="s">
        <v>127</v>
      </c>
      <c r="G16" s="12" t="s">
        <v>125</v>
      </c>
      <c r="H16" s="12" t="s">
        <v>128</v>
      </c>
      <c r="I16" s="12" t="s">
        <v>129</v>
      </c>
      <c r="J16" s="12" t="s">
        <v>51</v>
      </c>
      <c r="K16" s="14" t="n">
        <v>174</v>
      </c>
      <c r="L16" s="12" t="s">
        <v>130</v>
      </c>
      <c r="M16" s="15" t="n">
        <f aca="false">INDEX('Price Tiers'!$H16:$M16,MATCH($C16*Summary!$B$6,'Price Tiers'!$B16:$G16,1))</f>
        <v>0.0192</v>
      </c>
      <c r="N16" s="16" t="n">
        <f aca="false">$C16*Summary!$B$6*M16</f>
        <v>0.0384</v>
      </c>
      <c r="O16" s="15" t="n">
        <f aca="false">INDEX('Price Tiers'!$H16:$M16,MATCH($C16*Summary!$B$7,'Price Tiers'!$B16:$G16,1))</f>
        <v>0.0192</v>
      </c>
      <c r="P16" s="16" t="n">
        <f aca="false">$C16*Summary!$B$7*O16</f>
        <v>0.384</v>
      </c>
      <c r="Q16" s="15" t="n">
        <f aca="false">INDEX('Price Tiers'!$H16:$M16,MATCH($C16*Summary!$B$8,'Price Tiers'!$B16:$G16,1))</f>
        <v>0.0192</v>
      </c>
      <c r="R16" s="16" t="n">
        <f aca="false">$C16*Summary!$B$8*Q16</f>
        <v>3.84</v>
      </c>
      <c r="S16" s="18" t="s">
        <v>131</v>
      </c>
      <c r="T16" s="17" t="s">
        <v>54</v>
      </c>
    </row>
    <row r="17" customFormat="false" ht="15" hidden="false" customHeight="false" outlineLevel="0" collapsed="false">
      <c r="A17" s="12" t="n">
        <v>13</v>
      </c>
      <c r="B17" s="13" t="s">
        <v>132</v>
      </c>
      <c r="C17" s="12" t="n">
        <v>2</v>
      </c>
      <c r="D17" s="12" t="s">
        <v>133</v>
      </c>
      <c r="E17" s="12" t="s">
        <v>134</v>
      </c>
      <c r="F17" s="12" t="s">
        <v>135</v>
      </c>
      <c r="G17" s="12" t="s">
        <v>133</v>
      </c>
      <c r="H17" s="12" t="s">
        <v>136</v>
      </c>
      <c r="I17" s="12" t="s">
        <v>137</v>
      </c>
      <c r="J17" s="12" t="s">
        <v>51</v>
      </c>
      <c r="K17" s="14" t="n">
        <v>88</v>
      </c>
      <c r="L17" s="12" t="s">
        <v>138</v>
      </c>
      <c r="M17" s="15" t="n">
        <f aca="false">INDEX('Price Tiers'!$H17:$M17,MATCH($C17*Summary!$B$6,'Price Tiers'!$B17:$G17,1))</f>
        <v>0.1988</v>
      </c>
      <c r="N17" s="16" t="n">
        <f aca="false">$C17*Summary!$B$6*M17</f>
        <v>0.3976</v>
      </c>
      <c r="O17" s="15" t="n">
        <f aca="false">INDEX('Price Tiers'!$H17:$M17,MATCH($C17*Summary!$B$7,'Price Tiers'!$B17:$G17,1))</f>
        <v>0.1988</v>
      </c>
      <c r="P17" s="16" t="n">
        <f aca="false">$C17*Summary!$B$7*O17</f>
        <v>3.976</v>
      </c>
      <c r="Q17" s="15" t="n">
        <f aca="false">INDEX('Price Tiers'!$H17:$M17,MATCH($C17*Summary!$B$8,'Price Tiers'!$B17:$G17,1))</f>
        <v>0.1922</v>
      </c>
      <c r="R17" s="16" t="n">
        <f aca="false">$C17*Summary!$B$8*Q17</f>
        <v>38.44</v>
      </c>
      <c r="S17" s="18" t="s">
        <v>131</v>
      </c>
      <c r="T17" s="17" t="s">
        <v>54</v>
      </c>
    </row>
    <row r="18" customFormat="false" ht="15" hidden="false" customHeight="false" outlineLevel="0" collapsed="false">
      <c r="A18" s="12" t="n">
        <v>14</v>
      </c>
      <c r="B18" s="13" t="s">
        <v>139</v>
      </c>
      <c r="C18" s="12" t="n">
        <v>1</v>
      </c>
      <c r="D18" s="12" t="s">
        <v>140</v>
      </c>
      <c r="E18" s="12" t="s">
        <v>141</v>
      </c>
      <c r="F18" s="12" t="s">
        <v>142</v>
      </c>
      <c r="G18" s="12" t="s">
        <v>140</v>
      </c>
      <c r="H18" s="12" t="s">
        <v>136</v>
      </c>
      <c r="I18" s="12" t="s">
        <v>143</v>
      </c>
      <c r="J18" s="12" t="s">
        <v>51</v>
      </c>
      <c r="K18" s="14" t="n">
        <v>67460</v>
      </c>
      <c r="L18" s="12" t="s">
        <v>144</v>
      </c>
      <c r="M18" s="15" t="n">
        <f aca="false">INDEX('Price Tiers'!$H18:$M18,MATCH($C18*Summary!$B$6,'Price Tiers'!$B18:$G18,1))</f>
        <v>0.1272</v>
      </c>
      <c r="N18" s="16" t="n">
        <f aca="false">$C18*Summary!$B$6*M18</f>
        <v>0.1272</v>
      </c>
      <c r="O18" s="15" t="n">
        <f aca="false">INDEX('Price Tiers'!$H18:$M18,MATCH($C18*Summary!$B$7,'Price Tiers'!$B18:$G18,1))</f>
        <v>0.1272</v>
      </c>
      <c r="P18" s="16" t="n">
        <f aca="false">$C18*Summary!$B$7*O18</f>
        <v>1.272</v>
      </c>
      <c r="Q18" s="15" t="n">
        <f aca="false">INDEX('Price Tiers'!$H18:$M18,MATCH($C18*Summary!$B$8,'Price Tiers'!$B18:$G18,1))</f>
        <v>0.103</v>
      </c>
      <c r="R18" s="16" t="n">
        <f aca="false">$C18*Summary!$B$8*Q18</f>
        <v>10.3</v>
      </c>
      <c r="S18" s="12" t="s">
        <v>53</v>
      </c>
      <c r="T18" s="17" t="s">
        <v>54</v>
      </c>
    </row>
    <row r="19" customFormat="false" ht="15" hidden="false" customHeight="false" outlineLevel="0" collapsed="false">
      <c r="A19" s="12" t="n">
        <v>15</v>
      </c>
      <c r="B19" s="13" t="s">
        <v>145</v>
      </c>
      <c r="C19" s="12" t="n">
        <v>4</v>
      </c>
      <c r="D19" s="12" t="s">
        <v>146</v>
      </c>
      <c r="E19" s="12" t="s">
        <v>147</v>
      </c>
      <c r="F19" s="12" t="s">
        <v>148</v>
      </c>
      <c r="G19" s="12" t="s">
        <v>146</v>
      </c>
      <c r="H19" s="12" t="s">
        <v>149</v>
      </c>
      <c r="I19" s="12" t="s">
        <v>76</v>
      </c>
      <c r="J19" s="12" t="s">
        <v>51</v>
      </c>
      <c r="K19" s="14" t="n">
        <v>1917</v>
      </c>
      <c r="L19" s="12" t="s">
        <v>150</v>
      </c>
      <c r="M19" s="15" t="n">
        <f aca="false">INDEX('Price Tiers'!$H19:$M19,MATCH($C19*Summary!$B$6,'Price Tiers'!$B19:$G19,1))</f>
        <v>0.3013</v>
      </c>
      <c r="N19" s="16" t="n">
        <f aca="false">$C19*Summary!$B$6*M19</f>
        <v>1.2052</v>
      </c>
      <c r="O19" s="15" t="n">
        <f aca="false">INDEX('Price Tiers'!$H19:$M19,MATCH($C19*Summary!$B$7,'Price Tiers'!$B19:$G19,1))</f>
        <v>0.3013</v>
      </c>
      <c r="P19" s="16" t="n">
        <f aca="false">$C19*Summary!$B$7*O19</f>
        <v>12.052</v>
      </c>
      <c r="Q19" s="15" t="n">
        <f aca="false">INDEX('Price Tiers'!$H19:$M19,MATCH($C19*Summary!$B$8,'Price Tiers'!$B19:$G19,1))</f>
        <v>0.2045</v>
      </c>
      <c r="R19" s="16" t="n">
        <f aca="false">$C19*Summary!$B$8*Q19</f>
        <v>81.8</v>
      </c>
      <c r="S19" s="12" t="s">
        <v>53</v>
      </c>
      <c r="T19" s="17" t="s">
        <v>54</v>
      </c>
    </row>
    <row r="20" customFormat="false" ht="15" hidden="false" customHeight="false" outlineLevel="0" collapsed="false">
      <c r="A20" s="12" t="n">
        <v>16</v>
      </c>
      <c r="B20" s="13" t="s">
        <v>151</v>
      </c>
      <c r="C20" s="12" t="n">
        <v>1</v>
      </c>
      <c r="D20" s="12" t="s">
        <v>152</v>
      </c>
      <c r="E20" s="12" t="s">
        <v>152</v>
      </c>
      <c r="F20" s="12" t="s">
        <v>153</v>
      </c>
      <c r="G20" s="12" t="s">
        <v>152</v>
      </c>
      <c r="H20" s="12" t="s">
        <v>154</v>
      </c>
      <c r="I20" s="12" t="s">
        <v>155</v>
      </c>
      <c r="J20" s="12" t="s">
        <v>51</v>
      </c>
      <c r="K20" s="14" t="n">
        <v>10625</v>
      </c>
      <c r="L20" s="12" t="s">
        <v>156</v>
      </c>
      <c r="M20" s="15" t="n">
        <f aca="false">INDEX('Price Tiers'!$H20:$M20,MATCH($C20*Summary!$B$6,'Price Tiers'!$B20:$G20,1))</f>
        <v>0.1102</v>
      </c>
      <c r="N20" s="16" t="n">
        <f aca="false">$C20*Summary!$B$6*M20</f>
        <v>0.1102</v>
      </c>
      <c r="O20" s="15" t="n">
        <f aca="false">INDEX('Price Tiers'!$H20:$M20,MATCH($C20*Summary!$B$7,'Price Tiers'!$B20:$G20,1))</f>
        <v>0.1102</v>
      </c>
      <c r="P20" s="16" t="n">
        <f aca="false">$C20*Summary!$B$7*O20</f>
        <v>1.102</v>
      </c>
      <c r="Q20" s="15" t="n">
        <f aca="false">INDEX('Price Tiers'!$H20:$M20,MATCH($C20*Summary!$B$8,'Price Tiers'!$B20:$G20,1))</f>
        <v>0.0882</v>
      </c>
      <c r="R20" s="16" t="n">
        <f aca="false">$C20*Summary!$B$8*Q20</f>
        <v>8.82</v>
      </c>
      <c r="S20" s="12" t="s">
        <v>53</v>
      </c>
      <c r="T20" s="17" t="s">
        <v>54</v>
      </c>
    </row>
    <row r="21" customFormat="false" ht="15" hidden="false" customHeight="false" outlineLevel="0" collapsed="false">
      <c r="A21" s="12" t="n">
        <v>17</v>
      </c>
      <c r="B21" s="13" t="s">
        <v>157</v>
      </c>
      <c r="C21" s="12" t="n">
        <v>2</v>
      </c>
      <c r="D21" s="12" t="s">
        <v>158</v>
      </c>
      <c r="E21" s="12" t="s">
        <v>159</v>
      </c>
      <c r="F21" s="12" t="s">
        <v>160</v>
      </c>
      <c r="G21" s="12" t="s">
        <v>158</v>
      </c>
      <c r="H21" s="12" t="s">
        <v>161</v>
      </c>
      <c r="I21" s="12" t="s">
        <v>162</v>
      </c>
      <c r="J21" s="12" t="s">
        <v>51</v>
      </c>
      <c r="K21" s="14" t="n">
        <v>13097</v>
      </c>
      <c r="L21" s="12" t="s">
        <v>163</v>
      </c>
      <c r="M21" s="15" t="n">
        <f aca="false">INDEX('Price Tiers'!$H21:$M21,MATCH($C21*Summary!$B$6,'Price Tiers'!$B21:$G21,1))</f>
        <v>0.2565</v>
      </c>
      <c r="N21" s="16" t="n">
        <f aca="false">$C21*Summary!$B$6*M21</f>
        <v>0.513</v>
      </c>
      <c r="O21" s="15" t="n">
        <f aca="false">INDEX('Price Tiers'!$H21:$M21,MATCH($C21*Summary!$B$7,'Price Tiers'!$B21:$G21,1))</f>
        <v>0.2565</v>
      </c>
      <c r="P21" s="16" t="n">
        <f aca="false">$C21*Summary!$B$7*O21</f>
        <v>5.13</v>
      </c>
      <c r="Q21" s="15" t="n">
        <f aca="false">INDEX('Price Tiers'!$H21:$M21,MATCH($C21*Summary!$B$8,'Price Tiers'!$B21:$G21,1))</f>
        <v>0.1865</v>
      </c>
      <c r="R21" s="16" t="n">
        <f aca="false">$C21*Summary!$B$8*Q21</f>
        <v>37.3</v>
      </c>
      <c r="S21" s="12" t="s">
        <v>53</v>
      </c>
      <c r="T21" s="17" t="s">
        <v>54</v>
      </c>
    </row>
    <row r="22" customFormat="false" ht="15" hidden="false" customHeight="false" outlineLevel="0" collapsed="false">
      <c r="A22" s="12" t="n">
        <v>18</v>
      </c>
      <c r="B22" s="13" t="s">
        <v>164</v>
      </c>
      <c r="C22" s="12" t="n">
        <v>1</v>
      </c>
      <c r="D22" s="12" t="s">
        <v>165</v>
      </c>
      <c r="E22" s="12" t="s">
        <v>166</v>
      </c>
      <c r="F22" s="12" t="s">
        <v>167</v>
      </c>
      <c r="G22" s="12" t="s">
        <v>165</v>
      </c>
      <c r="H22" s="12" t="s">
        <v>168</v>
      </c>
      <c r="I22" s="12" t="s">
        <v>169</v>
      </c>
      <c r="J22" s="12" t="s">
        <v>51</v>
      </c>
      <c r="K22" s="14" t="n">
        <v>3005</v>
      </c>
      <c r="L22" s="12" t="s">
        <v>170</v>
      </c>
      <c r="M22" s="15" t="n">
        <f aca="false">INDEX('Price Tiers'!$H22:$M22,MATCH($C22*Summary!$B$6,'Price Tiers'!$B22:$G22,1))</f>
        <v>3.5891</v>
      </c>
      <c r="N22" s="16" t="n">
        <f aca="false">$C22*Summary!$B$6*M22</f>
        <v>3.5891</v>
      </c>
      <c r="O22" s="15" t="n">
        <f aca="false">INDEX('Price Tiers'!$H22:$M22,MATCH($C22*Summary!$B$7,'Price Tiers'!$B22:$G22,1))</f>
        <v>3.0532</v>
      </c>
      <c r="P22" s="16" t="n">
        <f aca="false">$C22*Summary!$B$7*O22</f>
        <v>30.532</v>
      </c>
      <c r="Q22" s="15" t="n">
        <f aca="false">INDEX('Price Tiers'!$H22:$M22,MATCH($C22*Summary!$B$8,'Price Tiers'!$B22:$G22,1))</f>
        <v>2.4133</v>
      </c>
      <c r="R22" s="16" t="n">
        <f aca="false">$C22*Summary!$B$8*Q22</f>
        <v>241.33</v>
      </c>
      <c r="S22" s="12" t="s">
        <v>53</v>
      </c>
      <c r="T22" s="17" t="s">
        <v>54</v>
      </c>
    </row>
    <row r="23" customFormat="false" ht="15" hidden="false" customHeight="false" outlineLevel="0" collapsed="false">
      <c r="A23" s="12" t="n">
        <v>19</v>
      </c>
      <c r="B23" s="13" t="s">
        <v>171</v>
      </c>
      <c r="C23" s="12" t="n">
        <v>2</v>
      </c>
      <c r="D23" s="12" t="s">
        <v>172</v>
      </c>
      <c r="E23" s="12" t="s">
        <v>173</v>
      </c>
      <c r="F23" s="12" t="s">
        <v>174</v>
      </c>
      <c r="G23" s="12" t="s">
        <v>172</v>
      </c>
      <c r="H23" s="12" t="s">
        <v>175</v>
      </c>
      <c r="I23" s="12" t="s">
        <v>176</v>
      </c>
      <c r="J23" s="12" t="s">
        <v>51</v>
      </c>
      <c r="K23" s="14" t="n">
        <v>32902</v>
      </c>
      <c r="L23" s="12" t="s">
        <v>177</v>
      </c>
      <c r="M23" s="15" t="n">
        <f aca="false">INDEX('Price Tiers'!$H23:$M23,MATCH($C23*Summary!$B$6,'Price Tiers'!$B23:$G23,1))</f>
        <v>0.0687</v>
      </c>
      <c r="N23" s="16" t="n">
        <f aca="false">$C23*Summary!$B$6*M23</f>
        <v>0.1374</v>
      </c>
      <c r="O23" s="15" t="n">
        <f aca="false">INDEX('Price Tiers'!$H23:$M23,MATCH($C23*Summary!$B$7,'Price Tiers'!$B23:$G23,1))</f>
        <v>0.0687</v>
      </c>
      <c r="P23" s="16" t="n">
        <f aca="false">$C23*Summary!$B$7*O23</f>
        <v>1.374</v>
      </c>
      <c r="Q23" s="15" t="n">
        <f aca="false">INDEX('Price Tiers'!$H23:$M23,MATCH($C23*Summary!$B$8,'Price Tiers'!$B23:$G23,1))</f>
        <v>0.0553</v>
      </c>
      <c r="R23" s="16" t="n">
        <f aca="false">$C23*Summary!$B$8*Q23</f>
        <v>11.06</v>
      </c>
      <c r="S23" s="12" t="s">
        <v>53</v>
      </c>
      <c r="T23" s="17" t="s">
        <v>54</v>
      </c>
    </row>
    <row r="24" customFormat="false" ht="15" hidden="false" customHeight="false" outlineLevel="0" collapsed="false">
      <c r="A24" s="12" t="n">
        <v>20</v>
      </c>
      <c r="B24" s="13" t="s">
        <v>178</v>
      </c>
      <c r="C24" s="12" t="n">
        <v>1</v>
      </c>
      <c r="D24" s="12" t="s">
        <v>179</v>
      </c>
      <c r="E24" s="12" t="s">
        <v>180</v>
      </c>
      <c r="F24" s="12" t="s">
        <v>181</v>
      </c>
      <c r="G24" s="12" t="s">
        <v>179</v>
      </c>
      <c r="H24" s="12" t="s">
        <v>67</v>
      </c>
      <c r="I24" s="12" t="s">
        <v>76</v>
      </c>
      <c r="J24" s="12" t="s">
        <v>51</v>
      </c>
      <c r="K24" s="14" t="n">
        <v>1016</v>
      </c>
      <c r="L24" s="12" t="s">
        <v>182</v>
      </c>
      <c r="M24" s="15" t="n">
        <f aca="false">INDEX('Price Tiers'!$H24:$M24,MATCH($C24*Summary!$B$6,'Price Tiers'!$B24:$G24,1))</f>
        <v>0.213</v>
      </c>
      <c r="N24" s="16" t="n">
        <f aca="false">$C24*Summary!$B$6*M24</f>
        <v>0.213</v>
      </c>
      <c r="O24" s="15" t="n">
        <f aca="false">INDEX('Price Tiers'!$H24:$M24,MATCH($C24*Summary!$B$7,'Price Tiers'!$B24:$G24,1))</f>
        <v>0.213</v>
      </c>
      <c r="P24" s="16" t="n">
        <f aca="false">$C24*Summary!$B$7*O24</f>
        <v>2.13</v>
      </c>
      <c r="Q24" s="15" t="n">
        <f aca="false">INDEX('Price Tiers'!$H24:$M24,MATCH($C24*Summary!$B$8,'Price Tiers'!$B24:$G24,1))</f>
        <v>0.1828</v>
      </c>
      <c r="R24" s="16" t="n">
        <f aca="false">$C24*Summary!$B$8*Q24</f>
        <v>18.28</v>
      </c>
      <c r="S24" s="12" t="s">
        <v>53</v>
      </c>
      <c r="T24" s="17" t="s">
        <v>54</v>
      </c>
    </row>
    <row r="25" customFormat="false" ht="15" hidden="false" customHeight="false" outlineLevel="0" collapsed="false">
      <c r="A25" s="12" t="n">
        <v>21</v>
      </c>
      <c r="B25" s="13" t="s">
        <v>183</v>
      </c>
      <c r="C25" s="12" t="n">
        <v>1</v>
      </c>
      <c r="D25" s="12" t="s">
        <v>184</v>
      </c>
      <c r="E25" s="12" t="s">
        <v>184</v>
      </c>
      <c r="F25" s="12" t="s">
        <v>185</v>
      </c>
      <c r="G25" s="12" t="s">
        <v>184</v>
      </c>
      <c r="H25" s="12" t="s">
        <v>186</v>
      </c>
      <c r="I25" s="12" t="s">
        <v>187</v>
      </c>
      <c r="J25" s="12" t="s">
        <v>51</v>
      </c>
      <c r="K25" s="14" t="n">
        <v>3128</v>
      </c>
      <c r="L25" s="12" t="s">
        <v>188</v>
      </c>
      <c r="M25" s="15" t="n">
        <f aca="false">INDEX('Price Tiers'!$H25:$M25,MATCH($C25*Summary!$B$6,'Price Tiers'!$B25:$G25,1))</f>
        <v>0.7227</v>
      </c>
      <c r="N25" s="16" t="n">
        <f aca="false">$C25*Summary!$B$6*M25</f>
        <v>0.7227</v>
      </c>
      <c r="O25" s="15" t="n">
        <f aca="false">INDEX('Price Tiers'!$H25:$M25,MATCH($C25*Summary!$B$7,'Price Tiers'!$B25:$G25,1))</f>
        <v>0.7227</v>
      </c>
      <c r="P25" s="16" t="n">
        <f aca="false">$C25*Summary!$B$7*O25</f>
        <v>7.227</v>
      </c>
      <c r="Q25" s="15" t="n">
        <f aca="false">INDEX('Price Tiers'!$H25:$M25,MATCH($C25*Summary!$B$8,'Price Tiers'!$B25:$G25,1))</f>
        <v>0.7227</v>
      </c>
      <c r="R25" s="16" t="n">
        <f aca="false">$C25*Summary!$B$8*Q25</f>
        <v>72.27</v>
      </c>
      <c r="S25" s="12" t="s">
        <v>53</v>
      </c>
      <c r="T25" s="17" t="s">
        <v>54</v>
      </c>
    </row>
    <row r="26" customFormat="false" ht="15" hidden="false" customHeight="false" outlineLevel="0" collapsed="false">
      <c r="A26" s="12" t="n">
        <v>22</v>
      </c>
      <c r="B26" s="13" t="s">
        <v>189</v>
      </c>
      <c r="C26" s="12" t="n">
        <v>1</v>
      </c>
      <c r="D26" s="12" t="s">
        <v>190</v>
      </c>
      <c r="E26" s="12" t="s">
        <v>191</v>
      </c>
      <c r="F26" s="12" t="s">
        <v>192</v>
      </c>
      <c r="G26" s="12" t="s">
        <v>190</v>
      </c>
      <c r="H26" s="12" t="s">
        <v>193</v>
      </c>
      <c r="I26" s="12" t="s">
        <v>194</v>
      </c>
      <c r="J26" s="12" t="s">
        <v>51</v>
      </c>
      <c r="K26" s="14" t="n">
        <v>8050</v>
      </c>
      <c r="L26" s="12" t="s">
        <v>195</v>
      </c>
      <c r="M26" s="15" t="n">
        <f aca="false">INDEX('Price Tiers'!$H26:$M26,MATCH($C26*Summary!$B$6,'Price Tiers'!$B26:$G26,1))</f>
        <v>1.283</v>
      </c>
      <c r="N26" s="16" t="n">
        <f aca="false">$C26*Summary!$B$6*M26</f>
        <v>1.283</v>
      </c>
      <c r="O26" s="15" t="n">
        <f aca="false">INDEX('Price Tiers'!$H26:$M26,MATCH($C26*Summary!$B$7,'Price Tiers'!$B26:$G26,1))</f>
        <v>1.2132</v>
      </c>
      <c r="P26" s="16" t="n">
        <f aca="false">$C26*Summary!$B$7*O26</f>
        <v>12.132</v>
      </c>
      <c r="Q26" s="15" t="n">
        <f aca="false">INDEX('Price Tiers'!$H26:$M26,MATCH($C26*Summary!$B$8,'Price Tiers'!$B26:$G26,1))</f>
        <v>1.2132</v>
      </c>
      <c r="R26" s="16" t="n">
        <f aca="false">$C26*Summary!$B$8*Q26</f>
        <v>121.32</v>
      </c>
      <c r="S26" s="12" t="s">
        <v>53</v>
      </c>
      <c r="T26" s="17" t="s">
        <v>54</v>
      </c>
    </row>
    <row r="27" customFormat="false" ht="15" hidden="false" customHeight="false" outlineLevel="0" collapsed="false">
      <c r="A27" s="12" t="n">
        <v>23</v>
      </c>
      <c r="B27" s="13" t="s">
        <v>196</v>
      </c>
      <c r="C27" s="12" t="n">
        <v>1</v>
      </c>
      <c r="D27" s="12" t="s">
        <v>197</v>
      </c>
      <c r="E27" s="12" t="s">
        <v>198</v>
      </c>
      <c r="F27" s="12" t="s">
        <v>199</v>
      </c>
      <c r="G27" s="12" t="s">
        <v>197</v>
      </c>
      <c r="H27" s="12" t="s">
        <v>193</v>
      </c>
      <c r="I27" s="12" t="s">
        <v>194</v>
      </c>
      <c r="J27" s="12" t="s">
        <v>51</v>
      </c>
      <c r="K27" s="14" t="n">
        <v>10675</v>
      </c>
      <c r="L27" s="12" t="s">
        <v>200</v>
      </c>
      <c r="M27" s="15" t="n">
        <f aca="false">INDEX('Price Tiers'!$H27:$M27,MATCH($C27*Summary!$B$6,'Price Tiers'!$B27:$G27,1))</f>
        <v>1.2083</v>
      </c>
      <c r="N27" s="16" t="n">
        <f aca="false">$C27*Summary!$B$6*M27</f>
        <v>1.2083</v>
      </c>
      <c r="O27" s="15" t="n">
        <f aca="false">INDEX('Price Tiers'!$H27:$M27,MATCH($C27*Summary!$B$7,'Price Tiers'!$B27:$G27,1))</f>
        <v>1.1385</v>
      </c>
      <c r="P27" s="16" t="n">
        <f aca="false">$C27*Summary!$B$7*O27</f>
        <v>11.385</v>
      </c>
      <c r="Q27" s="15" t="n">
        <f aca="false">INDEX('Price Tiers'!$H27:$M27,MATCH($C27*Summary!$B$8,'Price Tiers'!$B27:$G27,1))</f>
        <v>1.1385</v>
      </c>
      <c r="R27" s="16" t="n">
        <f aca="false">$C27*Summary!$B$8*Q27</f>
        <v>113.85</v>
      </c>
      <c r="S27" s="12" t="s">
        <v>53</v>
      </c>
      <c r="T27" s="17" t="s">
        <v>54</v>
      </c>
    </row>
    <row r="28" customFormat="false" ht="15" hidden="false" customHeight="false" outlineLevel="0" collapsed="false">
      <c r="A28" s="12" t="n">
        <v>24</v>
      </c>
      <c r="B28" s="13" t="s">
        <v>201</v>
      </c>
      <c r="C28" s="12" t="n">
        <v>2</v>
      </c>
      <c r="D28" s="12" t="s">
        <v>202</v>
      </c>
      <c r="E28" s="12" t="s">
        <v>203</v>
      </c>
      <c r="F28" s="12" t="s">
        <v>204</v>
      </c>
      <c r="G28" s="12" t="s">
        <v>202</v>
      </c>
      <c r="H28" s="12" t="s">
        <v>205</v>
      </c>
      <c r="I28" s="12" t="s">
        <v>206</v>
      </c>
      <c r="J28" s="12" t="s">
        <v>51</v>
      </c>
      <c r="K28" s="14" t="n">
        <v>513</v>
      </c>
      <c r="L28" s="12" t="s">
        <v>207</v>
      </c>
      <c r="M28" s="15" t="n">
        <f aca="false">INDEX('Price Tiers'!$H28:$M28,MATCH($C28*Summary!$B$6,'Price Tiers'!$B28:$G28,1))</f>
        <v>0.5814</v>
      </c>
      <c r="N28" s="16" t="n">
        <f aca="false">$C28*Summary!$B$6*M28</f>
        <v>1.1628</v>
      </c>
      <c r="O28" s="15" t="n">
        <f aca="false">INDEX('Price Tiers'!$H28:$M28,MATCH($C28*Summary!$B$7,'Price Tiers'!$B28:$G28,1))</f>
        <v>0.4726</v>
      </c>
      <c r="P28" s="16" t="n">
        <f aca="false">$C28*Summary!$B$7*O28</f>
        <v>9.452</v>
      </c>
      <c r="Q28" s="15" t="n">
        <f aca="false">INDEX('Price Tiers'!$H28:$M28,MATCH($C28*Summary!$B$8,'Price Tiers'!$B28:$G28,1))</f>
        <v>0.419</v>
      </c>
      <c r="R28" s="16" t="n">
        <f aca="false">$C28*Summary!$B$8*Q28</f>
        <v>83.8</v>
      </c>
      <c r="S28" s="12" t="s">
        <v>53</v>
      </c>
      <c r="T28" s="17" t="s">
        <v>54</v>
      </c>
    </row>
    <row r="29" customFormat="false" ht="15" hidden="false" customHeight="false" outlineLevel="0" collapsed="false">
      <c r="A29" s="12" t="n">
        <v>25</v>
      </c>
      <c r="B29" s="13" t="s">
        <v>208</v>
      </c>
      <c r="C29" s="12" t="n">
        <v>1</v>
      </c>
      <c r="D29" s="12" t="s">
        <v>209</v>
      </c>
      <c r="E29" s="12" t="s">
        <v>209</v>
      </c>
      <c r="F29" s="12" t="s">
        <v>210</v>
      </c>
      <c r="G29" s="12" t="s">
        <v>209</v>
      </c>
      <c r="H29" s="12" t="s">
        <v>211</v>
      </c>
      <c r="I29" s="12" t="s">
        <v>212</v>
      </c>
      <c r="J29" s="12" t="s">
        <v>51</v>
      </c>
      <c r="K29" s="14" t="n">
        <v>53351</v>
      </c>
      <c r="L29" s="12" t="s">
        <v>213</v>
      </c>
      <c r="M29" s="15" t="n">
        <f aca="false">INDEX('Price Tiers'!$H29:$M29,MATCH($C29*Summary!$B$6,'Price Tiers'!$B29:$G29,1))</f>
        <v>0.096</v>
      </c>
      <c r="N29" s="16" t="n">
        <f aca="false">$C29*Summary!$B$6*M29</f>
        <v>0.096</v>
      </c>
      <c r="O29" s="15" t="n">
        <f aca="false">INDEX('Price Tiers'!$H29:$M29,MATCH($C29*Summary!$B$7,'Price Tiers'!$B29:$G29,1))</f>
        <v>0.096</v>
      </c>
      <c r="P29" s="16" t="n">
        <f aca="false">$C29*Summary!$B$7*O29</f>
        <v>0.96</v>
      </c>
      <c r="Q29" s="15" t="n">
        <f aca="false">INDEX('Price Tiers'!$H29:$M29,MATCH($C29*Summary!$B$8,'Price Tiers'!$B29:$G29,1))</f>
        <v>0.0751</v>
      </c>
      <c r="R29" s="16" t="n">
        <f aca="false">$C29*Summary!$B$8*Q29</f>
        <v>7.51</v>
      </c>
      <c r="S29" s="12" t="s">
        <v>53</v>
      </c>
      <c r="T29" s="17" t="s">
        <v>54</v>
      </c>
    </row>
    <row r="30" customFormat="false" ht="15" hidden="false" customHeight="false" outlineLevel="0" collapsed="false">
      <c r="A30" s="12" t="n">
        <v>26</v>
      </c>
      <c r="B30" s="13" t="s">
        <v>214</v>
      </c>
      <c r="C30" s="12" t="n">
        <v>1</v>
      </c>
      <c r="D30" s="12" t="s">
        <v>215</v>
      </c>
      <c r="E30" s="12" t="s">
        <v>216</v>
      </c>
      <c r="F30" s="12" t="s">
        <v>217</v>
      </c>
      <c r="G30" s="12" t="s">
        <v>218</v>
      </c>
      <c r="H30" s="12" t="s">
        <v>219</v>
      </c>
      <c r="I30" s="12" t="s">
        <v>220</v>
      </c>
      <c r="J30" s="12" t="s">
        <v>51</v>
      </c>
      <c r="K30" s="14" t="n">
        <v>4719</v>
      </c>
      <c r="L30" s="12" t="s">
        <v>221</v>
      </c>
      <c r="M30" s="15" t="n">
        <f aca="false">INDEX('Price Tiers'!$H30:$M30,MATCH($C30*Summary!$B$6,'Price Tiers'!$B30:$G30,1))</f>
        <v>0.0848</v>
      </c>
      <c r="N30" s="16" t="n">
        <f aca="false">$C30*Summary!$B$6*M30</f>
        <v>0.0848</v>
      </c>
      <c r="O30" s="15" t="n">
        <f aca="false">INDEX('Price Tiers'!$H30:$M30,MATCH($C30*Summary!$B$7,'Price Tiers'!$B30:$G30,1))</f>
        <v>0.0848</v>
      </c>
      <c r="P30" s="16" t="n">
        <f aca="false">$C30*Summary!$B$7*O30</f>
        <v>0.848</v>
      </c>
      <c r="Q30" s="15" t="n">
        <f aca="false">INDEX('Price Tiers'!$H30:$M30,MATCH($C30*Summary!$B$8,'Price Tiers'!$B30:$G30,1))</f>
        <v>0.067</v>
      </c>
      <c r="R30" s="16" t="n">
        <f aca="false">$C30*Summary!$B$8*Q30</f>
        <v>6.7</v>
      </c>
      <c r="S30" s="12" t="s">
        <v>53</v>
      </c>
      <c r="T30" s="17" t="s">
        <v>54</v>
      </c>
    </row>
    <row r="31" customFormat="false" ht="15" hidden="false" customHeight="false" outlineLevel="0" collapsed="false">
      <c r="A31" s="12" t="n">
        <v>27</v>
      </c>
      <c r="B31" s="13" t="s">
        <v>222</v>
      </c>
      <c r="C31" s="12" t="n">
        <v>1</v>
      </c>
      <c r="D31" s="12" t="s">
        <v>223</v>
      </c>
      <c r="E31" s="12" t="s">
        <v>224</v>
      </c>
      <c r="F31" s="12" t="s">
        <v>225</v>
      </c>
      <c r="G31" s="12" t="s">
        <v>224</v>
      </c>
      <c r="H31" s="12" t="s">
        <v>226</v>
      </c>
      <c r="I31" s="12" t="s">
        <v>227</v>
      </c>
      <c r="J31" s="12" t="s">
        <v>51</v>
      </c>
      <c r="K31" s="14" t="n">
        <v>82473</v>
      </c>
      <c r="L31" s="12" t="s">
        <v>228</v>
      </c>
      <c r="M31" s="15" t="n">
        <f aca="false">INDEX('Price Tiers'!$H31:$M31,MATCH($C31*Summary!$B$6,'Price Tiers'!$B31:$G31,1))</f>
        <v>0.0613</v>
      </c>
      <c r="N31" s="16" t="n">
        <f aca="false">$C31*Summary!$B$6*M31</f>
        <v>0.0613</v>
      </c>
      <c r="O31" s="15" t="n">
        <f aca="false">INDEX('Price Tiers'!$H31:$M31,MATCH($C31*Summary!$B$7,'Price Tiers'!$B31:$G31,1))</f>
        <v>0.0613</v>
      </c>
      <c r="P31" s="16" t="n">
        <f aca="false">$C31*Summary!$B$7*O31</f>
        <v>0.613</v>
      </c>
      <c r="Q31" s="15" t="n">
        <f aca="false">INDEX('Price Tiers'!$H31:$M31,MATCH($C31*Summary!$B$8,'Price Tiers'!$B31:$G31,1))</f>
        <v>0.0494</v>
      </c>
      <c r="R31" s="16" t="n">
        <f aca="false">$C31*Summary!$B$8*Q31</f>
        <v>4.94</v>
      </c>
      <c r="S31" s="12" t="s">
        <v>53</v>
      </c>
      <c r="T31" s="17" t="s">
        <v>54</v>
      </c>
    </row>
    <row r="32" customFormat="false" ht="15" hidden="false" customHeight="false" outlineLevel="0" collapsed="false">
      <c r="A32" s="12" t="n">
        <v>28</v>
      </c>
      <c r="B32" s="13" t="s">
        <v>229</v>
      </c>
      <c r="C32" s="12" t="n">
        <v>1</v>
      </c>
      <c r="D32" s="12" t="s">
        <v>230</v>
      </c>
      <c r="E32" s="12" t="s">
        <v>231</v>
      </c>
      <c r="F32" s="12" t="s">
        <v>232</v>
      </c>
      <c r="G32" s="12" t="s">
        <v>230</v>
      </c>
      <c r="H32" s="12" t="s">
        <v>233</v>
      </c>
      <c r="I32" s="12" t="s">
        <v>234</v>
      </c>
      <c r="J32" s="12" t="s">
        <v>51</v>
      </c>
      <c r="K32" s="14" t="n">
        <v>1105</v>
      </c>
      <c r="L32" s="12" t="s">
        <v>235</v>
      </c>
      <c r="M32" s="15" t="n">
        <f aca="false">INDEX('Price Tiers'!$H32:$M32,MATCH($C32*Summary!$B$6,'Price Tiers'!$B32:$G32,1))</f>
        <v>0.562</v>
      </c>
      <c r="N32" s="16" t="n">
        <f aca="false">$C32*Summary!$B$6*M32</f>
        <v>0.562</v>
      </c>
      <c r="O32" s="15" t="n">
        <f aca="false">INDEX('Price Tiers'!$H32:$M32,MATCH($C32*Summary!$B$7,'Price Tiers'!$B32:$G32,1))</f>
        <v>0.4531</v>
      </c>
      <c r="P32" s="16" t="n">
        <f aca="false">$C32*Summary!$B$7*O32</f>
        <v>4.531</v>
      </c>
      <c r="Q32" s="15" t="n">
        <f aca="false">INDEX('Price Tiers'!$H32:$M32,MATCH($C32*Summary!$B$8,'Price Tiers'!$B32:$G32,1))</f>
        <v>0.3443</v>
      </c>
      <c r="R32" s="16" t="n">
        <f aca="false">$C32*Summary!$B$8*Q32</f>
        <v>34.43</v>
      </c>
      <c r="S32" s="12" t="s">
        <v>53</v>
      </c>
      <c r="T32" s="17" t="s">
        <v>54</v>
      </c>
    </row>
    <row r="33" customFormat="false" ht="15" hidden="false" customHeight="false" outlineLevel="0" collapsed="false">
      <c r="A33" s="12" t="n">
        <v>29</v>
      </c>
      <c r="B33" s="13" t="s">
        <v>236</v>
      </c>
      <c r="C33" s="12" t="n">
        <v>1</v>
      </c>
      <c r="D33" s="12" t="s">
        <v>237</v>
      </c>
      <c r="E33" s="12" t="s">
        <v>238</v>
      </c>
      <c r="F33" s="12" t="s">
        <v>239</v>
      </c>
      <c r="G33" s="12" t="s">
        <v>237</v>
      </c>
      <c r="H33" s="12" t="s">
        <v>240</v>
      </c>
      <c r="I33" s="12" t="s">
        <v>241</v>
      </c>
      <c r="J33" s="12" t="s">
        <v>51</v>
      </c>
      <c r="K33" s="14" t="n">
        <v>4953</v>
      </c>
      <c r="L33" s="12" t="s">
        <v>242</v>
      </c>
      <c r="M33" s="15" t="n">
        <f aca="false">INDEX('Price Tiers'!$H33:$M33,MATCH($C33*Summary!$B$6,'Price Tiers'!$B33:$G33,1))</f>
        <v>0.2488</v>
      </c>
      <c r="N33" s="16" t="n">
        <f aca="false">$C33*Summary!$B$6*M33</f>
        <v>0.2488</v>
      </c>
      <c r="O33" s="15" t="n">
        <f aca="false">INDEX('Price Tiers'!$H33:$M33,MATCH($C33*Summary!$B$7,'Price Tiers'!$B33:$G33,1))</f>
        <v>0.2488</v>
      </c>
      <c r="P33" s="16" t="n">
        <f aca="false">$C33*Summary!$B$7*O33</f>
        <v>2.488</v>
      </c>
      <c r="Q33" s="15" t="n">
        <f aca="false">INDEX('Price Tiers'!$H33:$M33,MATCH($C33*Summary!$B$8,'Price Tiers'!$B33:$G33,1))</f>
        <v>0.1998</v>
      </c>
      <c r="R33" s="16" t="n">
        <f aca="false">$C33*Summary!$B$8*Q33</f>
        <v>19.98</v>
      </c>
      <c r="S33" s="12" t="s">
        <v>53</v>
      </c>
      <c r="T33" s="17" t="s">
        <v>54</v>
      </c>
    </row>
    <row r="34" customFormat="false" ht="15" hidden="false" customHeight="false" outlineLevel="0" collapsed="false">
      <c r="A34" s="12" t="n">
        <v>30</v>
      </c>
      <c r="B34" s="13" t="s">
        <v>243</v>
      </c>
      <c r="C34" s="12" t="n">
        <v>5</v>
      </c>
      <c r="D34" s="12" t="s">
        <v>244</v>
      </c>
      <c r="E34" s="12" t="s">
        <v>245</v>
      </c>
      <c r="F34" s="12" t="s">
        <v>246</v>
      </c>
      <c r="G34" s="12" t="s">
        <v>244</v>
      </c>
      <c r="H34" s="12" t="s">
        <v>247</v>
      </c>
      <c r="I34" s="12" t="s">
        <v>248</v>
      </c>
      <c r="J34" s="12" t="s">
        <v>51</v>
      </c>
      <c r="K34" s="14" t="n">
        <v>33923</v>
      </c>
      <c r="L34" s="12" t="s">
        <v>249</v>
      </c>
      <c r="M34" s="15" t="n">
        <f aca="false">INDEX('Price Tiers'!$H34:$M34,MATCH($C34*Summary!$B$6,'Price Tiers'!$B34:$G34,1))</f>
        <v>0.1061</v>
      </c>
      <c r="N34" s="16" t="n">
        <f aca="false">$C34*Summary!$B$6*M34</f>
        <v>0.5305</v>
      </c>
      <c r="O34" s="15" t="n">
        <f aca="false">INDEX('Price Tiers'!$H34:$M34,MATCH($C34*Summary!$B$7,'Price Tiers'!$B34:$G34,1))</f>
        <v>0.0827</v>
      </c>
      <c r="P34" s="16" t="n">
        <f aca="false">$C34*Summary!$B$7*O34</f>
        <v>4.135</v>
      </c>
      <c r="Q34" s="15" t="n">
        <f aca="false">INDEX('Price Tiers'!$H34:$M34,MATCH($C34*Summary!$B$8,'Price Tiers'!$B34:$G34,1))</f>
        <v>0.0622</v>
      </c>
      <c r="R34" s="16" t="n">
        <f aca="false">$C34*Summary!$B$8*Q34</f>
        <v>31.1</v>
      </c>
      <c r="S34" s="12" t="s">
        <v>53</v>
      </c>
      <c r="T34" s="17" t="s">
        <v>54</v>
      </c>
    </row>
    <row r="35" customFormat="false" ht="15" hidden="false" customHeight="false" outlineLevel="0" collapsed="false">
      <c r="A35" s="12" t="n">
        <v>31</v>
      </c>
      <c r="B35" s="13" t="s">
        <v>250</v>
      </c>
      <c r="C35" s="12" t="n">
        <v>1</v>
      </c>
      <c r="D35" s="12" t="s">
        <v>251</v>
      </c>
      <c r="E35" s="12" t="s">
        <v>252</v>
      </c>
      <c r="F35" s="12" t="s">
        <v>253</v>
      </c>
      <c r="G35" s="12" t="s">
        <v>251</v>
      </c>
      <c r="H35" s="12" t="s">
        <v>254</v>
      </c>
      <c r="I35" s="12" t="s">
        <v>255</v>
      </c>
      <c r="J35" s="12" t="s">
        <v>51</v>
      </c>
      <c r="K35" s="14" t="n">
        <v>224</v>
      </c>
      <c r="L35" s="12" t="s">
        <v>256</v>
      </c>
      <c r="M35" s="15" t="n">
        <f aca="false">INDEX('Price Tiers'!$H35:$M35,MATCH($C35*Summary!$B$6,'Price Tiers'!$B35:$G35,1))</f>
        <v>1.5835</v>
      </c>
      <c r="N35" s="16" t="n">
        <f aca="false">$C35*Summary!$B$6*M35</f>
        <v>1.5835</v>
      </c>
      <c r="O35" s="15" t="n">
        <f aca="false">INDEX('Price Tiers'!$H35:$M35,MATCH($C35*Summary!$B$7,'Price Tiers'!$B35:$G35,1))</f>
        <v>1.296</v>
      </c>
      <c r="P35" s="16" t="n">
        <f aca="false">$C35*Summary!$B$7*O35</f>
        <v>12.96</v>
      </c>
      <c r="Q35" s="15" t="n">
        <f aca="false">INDEX('Price Tiers'!$H35:$M35,MATCH($C35*Summary!$B$8,'Price Tiers'!$B35:$G35,1))</f>
        <v>0.9582</v>
      </c>
      <c r="R35" s="16" t="n">
        <f aca="false">$C35*Summary!$B$8*Q35</f>
        <v>95.82</v>
      </c>
      <c r="S35" s="12" t="s">
        <v>53</v>
      </c>
      <c r="T35" s="17" t="s">
        <v>54</v>
      </c>
    </row>
    <row r="36" customFormat="false" ht="23.85" hidden="false" customHeight="false" outlineLevel="0" collapsed="false">
      <c r="A36" s="12" t="n">
        <v>32</v>
      </c>
      <c r="B36" s="13" t="s">
        <v>257</v>
      </c>
      <c r="C36" s="12" t="n">
        <v>9</v>
      </c>
      <c r="D36" s="12" t="s">
        <v>258</v>
      </c>
      <c r="E36" s="12" t="s">
        <v>259</v>
      </c>
      <c r="F36" s="12" t="s">
        <v>260</v>
      </c>
      <c r="G36" s="12" t="s">
        <v>261</v>
      </c>
      <c r="H36" s="12" t="s">
        <v>49</v>
      </c>
      <c r="I36" s="12" t="s">
        <v>50</v>
      </c>
      <c r="J36" s="12" t="s">
        <v>51</v>
      </c>
      <c r="K36" s="14" t="n">
        <v>986006</v>
      </c>
      <c r="L36" s="12" t="s">
        <v>262</v>
      </c>
      <c r="M36" s="15" t="n">
        <f aca="false">INDEX('Price Tiers'!$H36:$M36,MATCH($C36*Summary!$B$6,'Price Tiers'!$B36:$G36,1))</f>
        <v>0.004</v>
      </c>
      <c r="N36" s="16" t="n">
        <f aca="false">$C36*Summary!$B$6*M36</f>
        <v>0.036</v>
      </c>
      <c r="O36" s="15" t="n">
        <f aca="false">INDEX('Price Tiers'!$H36:$M36,MATCH($C36*Summary!$B$7,'Price Tiers'!$B36:$G36,1))</f>
        <v>0.004</v>
      </c>
      <c r="P36" s="16" t="n">
        <f aca="false">$C36*Summary!$B$7*O36</f>
        <v>0.36</v>
      </c>
      <c r="Q36" s="15" t="n">
        <f aca="false">INDEX('Price Tiers'!$H36:$M36,MATCH($C36*Summary!$B$8,'Price Tiers'!$B36:$G36,1))</f>
        <v>0.004</v>
      </c>
      <c r="R36" s="16" t="n">
        <f aca="false">$C36*Summary!$B$8*Q36</f>
        <v>3.6</v>
      </c>
      <c r="S36" s="12" t="s">
        <v>53</v>
      </c>
      <c r="T36" s="17" t="s">
        <v>54</v>
      </c>
    </row>
    <row r="37" customFormat="false" ht="15" hidden="false" customHeight="false" outlineLevel="0" collapsed="false">
      <c r="A37" s="12" t="n">
        <v>33</v>
      </c>
      <c r="B37" s="13" t="s">
        <v>263</v>
      </c>
      <c r="C37" s="12" t="n">
        <v>8</v>
      </c>
      <c r="D37" s="12" t="s">
        <v>264</v>
      </c>
      <c r="E37" s="12" t="s">
        <v>265</v>
      </c>
      <c r="F37" s="12" t="s">
        <v>266</v>
      </c>
      <c r="G37" s="12" t="s">
        <v>267</v>
      </c>
      <c r="H37" s="12" t="s">
        <v>268</v>
      </c>
      <c r="I37" s="12" t="s">
        <v>50</v>
      </c>
      <c r="J37" s="12" t="s">
        <v>109</v>
      </c>
      <c r="K37" s="14" t="n">
        <v>21948814</v>
      </c>
      <c r="L37" s="12" t="s">
        <v>269</v>
      </c>
      <c r="M37" s="15" t="n">
        <f aca="false">INDEX('Price Tiers'!$H37:$M37,MATCH($C37*Summary!$B$6,'Price Tiers'!$B37:$G37,1))</f>
        <v>0.0049</v>
      </c>
      <c r="N37" s="16" t="n">
        <f aca="false">$C37*Summary!$B$6*M37</f>
        <v>0.0392</v>
      </c>
      <c r="O37" s="15" t="n">
        <f aca="false">INDEX('Price Tiers'!$H37:$M37,MATCH($C37*Summary!$B$7,'Price Tiers'!$B37:$G37,1))</f>
        <v>0.0049</v>
      </c>
      <c r="P37" s="16" t="n">
        <f aca="false">$C37*Summary!$B$7*O37</f>
        <v>0.392</v>
      </c>
      <c r="Q37" s="15" t="n">
        <f aca="false">INDEX('Price Tiers'!$H37:$M37,MATCH($C37*Summary!$B$8,'Price Tiers'!$B37:$G37,1))</f>
        <v>0.0049</v>
      </c>
      <c r="R37" s="16" t="n">
        <f aca="false">$C37*Summary!$B$8*Q37</f>
        <v>3.92</v>
      </c>
      <c r="S37" s="12" t="s">
        <v>53</v>
      </c>
      <c r="T37" s="17" t="s">
        <v>54</v>
      </c>
    </row>
    <row r="38" customFormat="false" ht="35.05" hidden="false" customHeight="false" outlineLevel="0" collapsed="false">
      <c r="A38" s="12" t="n">
        <v>34</v>
      </c>
      <c r="B38" s="13" t="s">
        <v>270</v>
      </c>
      <c r="C38" s="12" t="n">
        <v>16</v>
      </c>
      <c r="D38" s="12" t="s">
        <v>271</v>
      </c>
      <c r="E38" s="12" t="s">
        <v>259</v>
      </c>
      <c r="F38" s="12" t="s">
        <v>272</v>
      </c>
      <c r="G38" s="12" t="s">
        <v>273</v>
      </c>
      <c r="H38" s="12" t="s">
        <v>268</v>
      </c>
      <c r="I38" s="12" t="s">
        <v>50</v>
      </c>
      <c r="J38" s="12" t="s">
        <v>109</v>
      </c>
      <c r="K38" s="14" t="n">
        <v>22320410</v>
      </c>
      <c r="L38" s="12" t="s">
        <v>274</v>
      </c>
      <c r="M38" s="15" t="n">
        <f aca="false">INDEX('Price Tiers'!$H38:$M38,MATCH($C38*Summary!$B$6,'Price Tiers'!$B38:$G38,1))</f>
        <v>0.0019</v>
      </c>
      <c r="N38" s="16" t="n">
        <f aca="false">$C38*Summary!$B$6*M38</f>
        <v>0.0304</v>
      </c>
      <c r="O38" s="15" t="n">
        <f aca="false">INDEX('Price Tiers'!$H38:$M38,MATCH($C38*Summary!$B$7,'Price Tiers'!$B38:$G38,1))</f>
        <v>0.0019</v>
      </c>
      <c r="P38" s="16" t="n">
        <f aca="false">$C38*Summary!$B$7*O38</f>
        <v>0.304</v>
      </c>
      <c r="Q38" s="15" t="n">
        <f aca="false">INDEX('Price Tiers'!$H38:$M38,MATCH($C38*Summary!$B$8,'Price Tiers'!$B38:$G38,1))</f>
        <v>0.0017</v>
      </c>
      <c r="R38" s="16" t="n">
        <f aca="false">$C38*Summary!$B$8*Q38</f>
        <v>2.72</v>
      </c>
      <c r="S38" s="12" t="s">
        <v>53</v>
      </c>
      <c r="T38" s="17" t="s">
        <v>54</v>
      </c>
    </row>
    <row r="39" customFormat="false" ht="23.85" hidden="false" customHeight="false" outlineLevel="0" collapsed="false">
      <c r="A39" s="12" t="n">
        <v>35</v>
      </c>
      <c r="B39" s="13" t="s">
        <v>275</v>
      </c>
      <c r="C39" s="12" t="n">
        <v>14</v>
      </c>
      <c r="D39" s="12" t="s">
        <v>276</v>
      </c>
      <c r="E39" s="12" t="s">
        <v>265</v>
      </c>
      <c r="F39" s="12" t="s">
        <v>277</v>
      </c>
      <c r="G39" s="12" t="s">
        <v>278</v>
      </c>
      <c r="H39" s="12" t="s">
        <v>268</v>
      </c>
      <c r="I39" s="12" t="s">
        <v>50</v>
      </c>
      <c r="J39" s="12" t="s">
        <v>109</v>
      </c>
      <c r="K39" s="14" t="n">
        <v>14732071</v>
      </c>
      <c r="L39" s="12" t="s">
        <v>279</v>
      </c>
      <c r="M39" s="15" t="n">
        <f aca="false">INDEX('Price Tiers'!$H39:$M39,MATCH($C39*Summary!$B$6,'Price Tiers'!$B39:$G39,1))</f>
        <v>0.0053</v>
      </c>
      <c r="N39" s="16" t="n">
        <f aca="false">$C39*Summary!$B$6*M39</f>
        <v>0.0742</v>
      </c>
      <c r="O39" s="15" t="n">
        <f aca="false">INDEX('Price Tiers'!$H39:$M39,MATCH($C39*Summary!$B$7,'Price Tiers'!$B39:$G39,1))</f>
        <v>0.0053</v>
      </c>
      <c r="P39" s="16" t="n">
        <f aca="false">$C39*Summary!$B$7*O39</f>
        <v>0.742</v>
      </c>
      <c r="Q39" s="15" t="n">
        <f aca="false">INDEX('Price Tiers'!$H39:$M39,MATCH($C39*Summary!$B$8,'Price Tiers'!$B39:$G39,1))</f>
        <v>0.0048</v>
      </c>
      <c r="R39" s="16" t="n">
        <f aca="false">$C39*Summary!$B$8*Q39</f>
        <v>6.72</v>
      </c>
      <c r="S39" s="12" t="s">
        <v>53</v>
      </c>
      <c r="T39" s="17" t="s">
        <v>54</v>
      </c>
    </row>
    <row r="40" customFormat="false" ht="57.45" hidden="false" customHeight="false" outlineLevel="0" collapsed="false">
      <c r="A40" s="12" t="n">
        <v>36</v>
      </c>
      <c r="B40" s="13" t="s">
        <v>280</v>
      </c>
      <c r="C40" s="12" t="n">
        <v>29</v>
      </c>
      <c r="D40" s="12" t="s">
        <v>281</v>
      </c>
      <c r="E40" s="12" t="s">
        <v>265</v>
      </c>
      <c r="F40" s="12" t="s">
        <v>282</v>
      </c>
      <c r="G40" s="12" t="s">
        <v>283</v>
      </c>
      <c r="H40" s="12" t="s">
        <v>49</v>
      </c>
      <c r="I40" s="12" t="s">
        <v>50</v>
      </c>
      <c r="J40" s="12" t="s">
        <v>51</v>
      </c>
      <c r="K40" s="14" t="n">
        <v>172532</v>
      </c>
      <c r="L40" s="12" t="s">
        <v>284</v>
      </c>
      <c r="M40" s="15" t="n">
        <f aca="false">INDEX('Price Tiers'!$H40:$M40,MATCH($C40*Summary!$B$6,'Price Tiers'!$B40:$G40,1))</f>
        <v>0.004</v>
      </c>
      <c r="N40" s="16" t="n">
        <f aca="false">$C40*Summary!$B$6*M40</f>
        <v>0.116</v>
      </c>
      <c r="O40" s="15" t="n">
        <f aca="false">INDEX('Price Tiers'!$H40:$M40,MATCH($C40*Summary!$B$7,'Price Tiers'!$B40:$G40,1))</f>
        <v>0.004</v>
      </c>
      <c r="P40" s="16" t="n">
        <f aca="false">$C40*Summary!$B$7*O40</f>
        <v>1.16</v>
      </c>
      <c r="Q40" s="15" t="n">
        <f aca="false">INDEX('Price Tiers'!$H40:$M40,MATCH($C40*Summary!$B$8,'Price Tiers'!$B40:$G40,1))</f>
        <v>0.0033</v>
      </c>
      <c r="R40" s="16" t="n">
        <f aca="false">$C40*Summary!$B$8*Q40</f>
        <v>9.57</v>
      </c>
      <c r="S40" s="12" t="s">
        <v>53</v>
      </c>
      <c r="T40" s="17" t="s">
        <v>54</v>
      </c>
    </row>
    <row r="41" customFormat="false" ht="15" hidden="false" customHeight="false" outlineLevel="0" collapsed="false">
      <c r="A41" s="12" t="n">
        <v>37</v>
      </c>
      <c r="B41" s="13" t="s">
        <v>285</v>
      </c>
      <c r="C41" s="12" t="n">
        <v>3</v>
      </c>
      <c r="D41" s="12" t="s">
        <v>286</v>
      </c>
      <c r="E41" s="12" t="s">
        <v>265</v>
      </c>
      <c r="F41" s="12" t="s">
        <v>287</v>
      </c>
      <c r="G41" s="12" t="s">
        <v>288</v>
      </c>
      <c r="H41" s="12" t="s">
        <v>268</v>
      </c>
      <c r="I41" s="12" t="s">
        <v>50</v>
      </c>
      <c r="J41" s="12" t="s">
        <v>109</v>
      </c>
      <c r="K41" s="14" t="n">
        <v>1809095</v>
      </c>
      <c r="L41" s="12" t="s">
        <v>289</v>
      </c>
      <c r="M41" s="15" t="n">
        <f aca="false">INDEX('Price Tiers'!$H41:$M41,MATCH($C41*Summary!$B$6,'Price Tiers'!$B41:$G41,1))</f>
        <v>0.0072</v>
      </c>
      <c r="N41" s="16" t="n">
        <f aca="false">$C41*Summary!$B$6*M41</f>
        <v>0.0216</v>
      </c>
      <c r="O41" s="15" t="n">
        <f aca="false">INDEX('Price Tiers'!$H41:$M41,MATCH($C41*Summary!$B$7,'Price Tiers'!$B41:$G41,1))</f>
        <v>0.0072</v>
      </c>
      <c r="P41" s="16" t="n">
        <f aca="false">$C41*Summary!$B$7*O41</f>
        <v>0.216</v>
      </c>
      <c r="Q41" s="15" t="n">
        <f aca="false">INDEX('Price Tiers'!$H41:$M41,MATCH($C41*Summary!$B$8,'Price Tiers'!$B41:$G41,1))</f>
        <v>0.0072</v>
      </c>
      <c r="R41" s="16" t="n">
        <f aca="false">$C41*Summary!$B$8*Q41</f>
        <v>2.16</v>
      </c>
      <c r="S41" s="12" t="s">
        <v>53</v>
      </c>
      <c r="T41" s="17" t="s">
        <v>54</v>
      </c>
    </row>
    <row r="42" customFormat="false" ht="15" hidden="false" customHeight="false" outlineLevel="0" collapsed="false">
      <c r="A42" s="12" t="n">
        <v>38</v>
      </c>
      <c r="B42" s="13" t="s">
        <v>290</v>
      </c>
      <c r="C42" s="12" t="n">
        <v>1</v>
      </c>
      <c r="D42" s="12" t="s">
        <v>291</v>
      </c>
      <c r="E42" s="12" t="s">
        <v>265</v>
      </c>
      <c r="F42" s="12" t="s">
        <v>292</v>
      </c>
      <c r="G42" s="12" t="s">
        <v>293</v>
      </c>
      <c r="H42" s="12" t="s">
        <v>226</v>
      </c>
      <c r="I42" s="12" t="s">
        <v>50</v>
      </c>
      <c r="J42" s="12" t="s">
        <v>51</v>
      </c>
      <c r="K42" s="14" t="n">
        <v>105900</v>
      </c>
      <c r="L42" s="12" t="s">
        <v>294</v>
      </c>
      <c r="M42" s="15" t="n">
        <f aca="false">INDEX('Price Tiers'!$H42:$M42,MATCH($C42*Summary!$B$6,'Price Tiers'!$B42:$G42,1))</f>
        <v>0.0166</v>
      </c>
      <c r="N42" s="16" t="n">
        <f aca="false">$C42*Summary!$B$6*M42</f>
        <v>0.0166</v>
      </c>
      <c r="O42" s="15" t="n">
        <f aca="false">INDEX('Price Tiers'!$H42:$M42,MATCH($C42*Summary!$B$7,'Price Tiers'!$B42:$G42,1))</f>
        <v>0.0166</v>
      </c>
      <c r="P42" s="16" t="n">
        <f aca="false">$C42*Summary!$B$7*O42</f>
        <v>0.166</v>
      </c>
      <c r="Q42" s="15" t="n">
        <f aca="false">INDEX('Price Tiers'!$H42:$M42,MATCH($C42*Summary!$B$8,'Price Tiers'!$B42:$G42,1))</f>
        <v>0.0166</v>
      </c>
      <c r="R42" s="16" t="n">
        <f aca="false">$C42*Summary!$B$8*Q42</f>
        <v>1.66</v>
      </c>
      <c r="S42" s="12" t="s">
        <v>53</v>
      </c>
      <c r="T42" s="17" t="s">
        <v>54</v>
      </c>
    </row>
    <row r="43" customFormat="false" ht="15" hidden="false" customHeight="false" outlineLevel="0" collapsed="false">
      <c r="A43" s="12" t="n">
        <v>39</v>
      </c>
      <c r="B43" s="13" t="s">
        <v>295</v>
      </c>
      <c r="C43" s="12" t="n">
        <v>1</v>
      </c>
      <c r="D43" s="12" t="s">
        <v>296</v>
      </c>
      <c r="E43" s="12" t="s">
        <v>297</v>
      </c>
      <c r="F43" s="12" t="s">
        <v>298</v>
      </c>
      <c r="G43" s="12" t="s">
        <v>299</v>
      </c>
      <c r="H43" s="12" t="s">
        <v>300</v>
      </c>
      <c r="I43" s="12" t="s">
        <v>176</v>
      </c>
      <c r="J43" s="12" t="s">
        <v>51</v>
      </c>
      <c r="K43" s="14" t="n">
        <v>8317</v>
      </c>
      <c r="L43" s="12" t="s">
        <v>301</v>
      </c>
      <c r="M43" s="15" t="n">
        <f aca="false">INDEX('Price Tiers'!$H43:$M43,MATCH($C43*Summary!$B$6,'Price Tiers'!$B43:$G43,1))</f>
        <v>0.0546</v>
      </c>
      <c r="N43" s="16" t="n">
        <f aca="false">$C43*Summary!$B$6*M43</f>
        <v>0.0546</v>
      </c>
      <c r="O43" s="15" t="n">
        <f aca="false">INDEX('Price Tiers'!$H43:$M43,MATCH($C43*Summary!$B$7,'Price Tiers'!$B43:$G43,1))</f>
        <v>0.0546</v>
      </c>
      <c r="P43" s="16" t="n">
        <f aca="false">$C43*Summary!$B$7*O43</f>
        <v>0.546</v>
      </c>
      <c r="Q43" s="15" t="n">
        <f aca="false">INDEX('Price Tiers'!$H43:$M43,MATCH($C43*Summary!$B$8,'Price Tiers'!$B43:$G43,1))</f>
        <v>0.0462</v>
      </c>
      <c r="R43" s="16" t="n">
        <f aca="false">$C43*Summary!$B$8*Q43</f>
        <v>4.62</v>
      </c>
      <c r="S43" s="12" t="s">
        <v>53</v>
      </c>
      <c r="T43" s="17" t="s">
        <v>54</v>
      </c>
    </row>
    <row r="44" customFormat="false" ht="15" hidden="false" customHeight="false" outlineLevel="0" collapsed="false">
      <c r="A44" s="12" t="n">
        <v>40</v>
      </c>
      <c r="B44" s="13" t="s">
        <v>302</v>
      </c>
      <c r="C44" s="12" t="n">
        <v>8</v>
      </c>
      <c r="D44" s="12" t="s">
        <v>303</v>
      </c>
      <c r="E44" s="12" t="s">
        <v>265</v>
      </c>
      <c r="F44" s="12" t="s">
        <v>304</v>
      </c>
      <c r="G44" s="12" t="s">
        <v>305</v>
      </c>
      <c r="H44" s="12" t="s">
        <v>268</v>
      </c>
      <c r="I44" s="12" t="s">
        <v>50</v>
      </c>
      <c r="J44" s="12" t="s">
        <v>109</v>
      </c>
      <c r="K44" s="14" t="n">
        <v>15407931</v>
      </c>
      <c r="L44" s="12" t="s">
        <v>306</v>
      </c>
      <c r="M44" s="15" t="n">
        <f aca="false">INDEX('Price Tiers'!$H44:$M44,MATCH($C44*Summary!$B$6,'Price Tiers'!$B44:$G44,1))</f>
        <v>0.0067</v>
      </c>
      <c r="N44" s="16" t="n">
        <f aca="false">$C44*Summary!$B$6*M44</f>
        <v>0.0536</v>
      </c>
      <c r="O44" s="15" t="n">
        <f aca="false">INDEX('Price Tiers'!$H44:$M44,MATCH($C44*Summary!$B$7,'Price Tiers'!$B44:$G44,1))</f>
        <v>0.0067</v>
      </c>
      <c r="P44" s="16" t="n">
        <f aca="false">$C44*Summary!$B$7*O44</f>
        <v>0.536</v>
      </c>
      <c r="Q44" s="15" t="n">
        <f aca="false">INDEX('Price Tiers'!$H44:$M44,MATCH($C44*Summary!$B$8,'Price Tiers'!$B44:$G44,1))</f>
        <v>0.0067</v>
      </c>
      <c r="R44" s="16" t="n">
        <f aca="false">$C44*Summary!$B$8*Q44</f>
        <v>5.36</v>
      </c>
      <c r="S44" s="12" t="s">
        <v>53</v>
      </c>
      <c r="T44" s="17" t="s">
        <v>54</v>
      </c>
    </row>
    <row r="45" customFormat="false" ht="15" hidden="false" customHeight="false" outlineLevel="0" collapsed="false">
      <c r="A45" s="12" t="n">
        <v>41</v>
      </c>
      <c r="B45" s="13" t="s">
        <v>307</v>
      </c>
      <c r="C45" s="12" t="n">
        <v>1</v>
      </c>
      <c r="D45" s="12" t="s">
        <v>308</v>
      </c>
      <c r="E45" s="12" t="s">
        <v>265</v>
      </c>
      <c r="F45" s="12" t="s">
        <v>309</v>
      </c>
      <c r="G45" s="12" t="s">
        <v>310</v>
      </c>
      <c r="H45" s="12" t="s">
        <v>311</v>
      </c>
      <c r="I45" s="12" t="s">
        <v>50</v>
      </c>
      <c r="J45" s="12" t="s">
        <v>51</v>
      </c>
      <c r="K45" s="14" t="n">
        <v>12122</v>
      </c>
      <c r="L45" s="12" t="s">
        <v>312</v>
      </c>
      <c r="M45" s="15" t="n">
        <f aca="false">INDEX('Price Tiers'!$H45:$M45,MATCH($C45*Summary!$B$6,'Price Tiers'!$B45:$G45,1))</f>
        <v>0.002</v>
      </c>
      <c r="N45" s="16" t="n">
        <f aca="false">$C45*Summary!$B$6*M45</f>
        <v>0.002</v>
      </c>
      <c r="O45" s="15" t="n">
        <f aca="false">INDEX('Price Tiers'!$H45:$M45,MATCH($C45*Summary!$B$7,'Price Tiers'!$B45:$G45,1))</f>
        <v>0.002</v>
      </c>
      <c r="P45" s="16" t="n">
        <f aca="false">$C45*Summary!$B$7*O45</f>
        <v>0.02</v>
      </c>
      <c r="Q45" s="15" t="n">
        <f aca="false">INDEX('Price Tiers'!$H45:$M45,MATCH($C45*Summary!$B$8,'Price Tiers'!$B45:$G45,1))</f>
        <v>0.002</v>
      </c>
      <c r="R45" s="16" t="n">
        <f aca="false">$C45*Summary!$B$8*Q45</f>
        <v>0.2</v>
      </c>
      <c r="S45" s="12" t="s">
        <v>53</v>
      </c>
      <c r="T45" s="17" t="s">
        <v>54</v>
      </c>
    </row>
    <row r="46" customFormat="false" ht="15" hidden="false" customHeight="false" outlineLevel="0" collapsed="false">
      <c r="A46" s="12" t="n">
        <v>42</v>
      </c>
      <c r="B46" s="13" t="s">
        <v>313</v>
      </c>
      <c r="C46" s="12" t="n">
        <v>2</v>
      </c>
      <c r="D46" s="12" t="s">
        <v>314</v>
      </c>
      <c r="E46" s="12" t="s">
        <v>315</v>
      </c>
      <c r="F46" s="12" t="s">
        <v>316</v>
      </c>
      <c r="G46" s="12" t="s">
        <v>315</v>
      </c>
      <c r="H46" s="12" t="s">
        <v>317</v>
      </c>
      <c r="I46" s="12" t="s">
        <v>318</v>
      </c>
      <c r="J46" s="12" t="s">
        <v>51</v>
      </c>
      <c r="K46" s="14" t="n">
        <v>16744</v>
      </c>
      <c r="L46" s="12" t="s">
        <v>319</v>
      </c>
      <c r="M46" s="15" t="n">
        <f aca="false">INDEX('Price Tiers'!$H46:$M46,MATCH($C46*Summary!$B$6,'Price Tiers'!$B46:$G46,1))</f>
        <v>0.175</v>
      </c>
      <c r="N46" s="16" t="n">
        <f aca="false">$C46*Summary!$B$6*M46</f>
        <v>0.35</v>
      </c>
      <c r="O46" s="15" t="n">
        <f aca="false">INDEX('Price Tiers'!$H46:$M46,MATCH($C46*Summary!$B$7,'Price Tiers'!$B46:$G46,1))</f>
        <v>0.175</v>
      </c>
      <c r="P46" s="16" t="n">
        <f aca="false">$C46*Summary!$B$7*O46</f>
        <v>3.5</v>
      </c>
      <c r="Q46" s="15" t="n">
        <f aca="false">INDEX('Price Tiers'!$H46:$M46,MATCH($C46*Summary!$B$8,'Price Tiers'!$B46:$G46,1))</f>
        <v>0.1222</v>
      </c>
      <c r="R46" s="16" t="n">
        <f aca="false">$C46*Summary!$B$8*Q46</f>
        <v>24.44</v>
      </c>
      <c r="S46" s="12" t="s">
        <v>53</v>
      </c>
      <c r="T46" s="17" t="s">
        <v>54</v>
      </c>
    </row>
    <row r="47" customFormat="false" ht="15" hidden="false" customHeight="false" outlineLevel="0" collapsed="false">
      <c r="A47" s="12" t="n">
        <v>43</v>
      </c>
      <c r="B47" s="13" t="s">
        <v>320</v>
      </c>
      <c r="C47" s="12" t="n">
        <v>2</v>
      </c>
      <c r="D47" s="12" t="s">
        <v>321</v>
      </c>
      <c r="E47" s="12" t="s">
        <v>321</v>
      </c>
      <c r="F47" s="12" t="s">
        <v>322</v>
      </c>
      <c r="G47" s="12" t="s">
        <v>321</v>
      </c>
      <c r="H47" s="12" t="s">
        <v>323</v>
      </c>
      <c r="I47" s="12" t="s">
        <v>324</v>
      </c>
      <c r="J47" s="12" t="s">
        <v>51</v>
      </c>
      <c r="K47" s="14" t="n">
        <v>872</v>
      </c>
      <c r="L47" s="12" t="s">
        <v>325</v>
      </c>
      <c r="M47" s="15" t="n">
        <f aca="false">INDEX('Price Tiers'!$H47:$M47,MATCH($C47*Summary!$B$6,'Price Tiers'!$B47:$G47,1))</f>
        <v>0.1711</v>
      </c>
      <c r="N47" s="16" t="n">
        <f aca="false">$C47*Summary!$B$6*M47</f>
        <v>0.3422</v>
      </c>
      <c r="O47" s="15" t="n">
        <f aca="false">INDEX('Price Tiers'!$H47:$M47,MATCH($C47*Summary!$B$7,'Price Tiers'!$B47:$G47,1))</f>
        <v>0.1711</v>
      </c>
      <c r="P47" s="16" t="n">
        <f aca="false">$C47*Summary!$B$7*O47</f>
        <v>3.422</v>
      </c>
      <c r="Q47" s="15" t="n">
        <f aca="false">INDEX('Price Tiers'!$H47:$M47,MATCH($C47*Summary!$B$8,'Price Tiers'!$B47:$G47,1))</f>
        <v>0.1193</v>
      </c>
      <c r="R47" s="16" t="n">
        <f aca="false">$C47*Summary!$B$8*Q47</f>
        <v>23.86</v>
      </c>
      <c r="S47" s="12" t="s">
        <v>53</v>
      </c>
      <c r="T47" s="17" t="s">
        <v>54</v>
      </c>
    </row>
    <row r="48" customFormat="false" ht="15" hidden="false" customHeight="false" outlineLevel="0" collapsed="false">
      <c r="A48" s="12" t="n">
        <v>44</v>
      </c>
      <c r="B48" s="13" t="s">
        <v>326</v>
      </c>
      <c r="C48" s="12" t="n">
        <v>1</v>
      </c>
      <c r="D48" s="12" t="s">
        <v>327</v>
      </c>
      <c r="E48" s="12" t="s">
        <v>327</v>
      </c>
      <c r="F48" s="12" t="s">
        <v>328</v>
      </c>
      <c r="G48" s="12" t="s">
        <v>327</v>
      </c>
      <c r="H48" s="12" t="s">
        <v>329</v>
      </c>
      <c r="I48" s="12" t="s">
        <v>194</v>
      </c>
      <c r="J48" s="12" t="s">
        <v>51</v>
      </c>
      <c r="K48" s="14" t="n">
        <v>6847</v>
      </c>
      <c r="L48" s="12" t="s">
        <v>330</v>
      </c>
      <c r="M48" s="15" t="n">
        <f aca="false">INDEX('Price Tiers'!$H48:$M48,MATCH($C48*Summary!$B$6,'Price Tiers'!$B48:$G48,1))</f>
        <v>2.3516</v>
      </c>
      <c r="N48" s="16" t="n">
        <f aca="false">$C48*Summary!$B$6*M48</f>
        <v>2.3516</v>
      </c>
      <c r="O48" s="15" t="n">
        <f aca="false">INDEX('Price Tiers'!$H48:$M48,MATCH($C48*Summary!$B$7,'Price Tiers'!$B48:$G48,1))</f>
        <v>1.9813</v>
      </c>
      <c r="P48" s="16" t="n">
        <f aca="false">$C48*Summary!$B$7*O48</f>
        <v>19.813</v>
      </c>
      <c r="Q48" s="15" t="n">
        <f aca="false">INDEX('Price Tiers'!$H48:$M48,MATCH($C48*Summary!$B$8,'Price Tiers'!$B48:$G48,1))</f>
        <v>1.5136</v>
      </c>
      <c r="R48" s="16" t="n">
        <f aca="false">$C48*Summary!$B$8*Q48</f>
        <v>151.36</v>
      </c>
      <c r="S48" s="12" t="s">
        <v>53</v>
      </c>
      <c r="T48" s="17" t="s">
        <v>54</v>
      </c>
    </row>
    <row r="49" customFormat="false" ht="15" hidden="false" customHeight="false" outlineLevel="0" collapsed="false">
      <c r="A49" s="12" t="n">
        <v>45</v>
      </c>
      <c r="B49" s="13" t="s">
        <v>331</v>
      </c>
      <c r="C49" s="12" t="n">
        <v>1</v>
      </c>
      <c r="D49" s="12" t="s">
        <v>332</v>
      </c>
      <c r="E49" s="12" t="s">
        <v>333</v>
      </c>
      <c r="F49" s="12" t="s">
        <v>334</v>
      </c>
      <c r="G49" s="12" t="s">
        <v>332</v>
      </c>
      <c r="H49" s="12" t="s">
        <v>335</v>
      </c>
      <c r="I49" s="12" t="s">
        <v>336</v>
      </c>
      <c r="J49" s="12" t="s">
        <v>51</v>
      </c>
      <c r="K49" s="14" t="n">
        <v>2986</v>
      </c>
      <c r="L49" s="12" t="s">
        <v>337</v>
      </c>
      <c r="M49" s="15" t="n">
        <f aca="false">INDEX('Price Tiers'!$H49:$M49,MATCH($C49*Summary!$B$6,'Price Tiers'!$B49:$G49,1))</f>
        <v>1.6322</v>
      </c>
      <c r="N49" s="16" t="n">
        <f aca="false">$C49*Summary!$B$6*M49</f>
        <v>1.6322</v>
      </c>
      <c r="O49" s="15" t="n">
        <f aca="false">INDEX('Price Tiers'!$H49:$M49,MATCH($C49*Summary!$B$7,'Price Tiers'!$B49:$G49,1))</f>
        <v>1.4519</v>
      </c>
      <c r="P49" s="16" t="n">
        <f aca="false">$C49*Summary!$B$7*O49</f>
        <v>14.519</v>
      </c>
      <c r="Q49" s="15" t="n">
        <f aca="false">INDEX('Price Tiers'!$H49:$M49,MATCH($C49*Summary!$B$8,'Price Tiers'!$B49:$G49,1))</f>
        <v>1.2067</v>
      </c>
      <c r="R49" s="16" t="n">
        <f aca="false">$C49*Summary!$B$8*Q49</f>
        <v>120.67</v>
      </c>
      <c r="S49" s="12" t="s">
        <v>53</v>
      </c>
      <c r="T49" s="17" t="s">
        <v>54</v>
      </c>
    </row>
    <row r="50" customFormat="false" ht="15" hidden="false" customHeight="false" outlineLevel="0" collapsed="false">
      <c r="A50" s="12" t="n">
        <v>46</v>
      </c>
      <c r="B50" s="13" t="s">
        <v>338</v>
      </c>
      <c r="C50" s="12" t="n">
        <v>1</v>
      </c>
      <c r="D50" s="12" t="s">
        <v>339</v>
      </c>
      <c r="E50" s="12" t="s">
        <v>340</v>
      </c>
      <c r="F50" s="12" t="s">
        <v>341</v>
      </c>
      <c r="G50" s="12" t="s">
        <v>339</v>
      </c>
      <c r="H50" s="12" t="s">
        <v>335</v>
      </c>
      <c r="I50" s="12" t="s">
        <v>342</v>
      </c>
      <c r="J50" s="12" t="s">
        <v>51</v>
      </c>
      <c r="K50" s="14" t="n">
        <v>215</v>
      </c>
      <c r="L50" s="12" t="s">
        <v>343</v>
      </c>
      <c r="M50" s="15" t="n">
        <f aca="false">INDEX('Price Tiers'!$H50:$M50,MATCH($C50*Summary!$B$6,'Price Tiers'!$B50:$G50,1))</f>
        <v>3.2269</v>
      </c>
      <c r="N50" s="16" t="n">
        <f aca="false">$C50*Summary!$B$6*M50</f>
        <v>3.2269</v>
      </c>
      <c r="O50" s="15" t="n">
        <f aca="false">INDEX('Price Tiers'!$H50:$M50,MATCH($C50*Summary!$B$7,'Price Tiers'!$B50:$G50,1))</f>
        <v>2.868</v>
      </c>
      <c r="P50" s="16" t="n">
        <f aca="false">$C50*Summary!$B$7*O50</f>
        <v>28.68</v>
      </c>
      <c r="Q50" s="15" t="n">
        <f aca="false">INDEX('Price Tiers'!$H50:$M50,MATCH($C50*Summary!$B$8,'Price Tiers'!$B50:$G50,1))</f>
        <v>2.4393</v>
      </c>
      <c r="R50" s="16" t="n">
        <f aca="false">$C50*Summary!$B$8*Q50</f>
        <v>243.93</v>
      </c>
      <c r="S50" s="12" t="s">
        <v>53</v>
      </c>
      <c r="T50" s="17" t="s">
        <v>54</v>
      </c>
    </row>
    <row r="51" customFormat="false" ht="15" hidden="false" customHeight="false" outlineLevel="0" collapsed="false">
      <c r="A51" s="12" t="n">
        <v>47</v>
      </c>
      <c r="B51" s="13" t="s">
        <v>344</v>
      </c>
      <c r="C51" s="12" t="n">
        <v>1</v>
      </c>
      <c r="D51" s="12" t="s">
        <v>345</v>
      </c>
      <c r="E51" s="12" t="s">
        <v>346</v>
      </c>
      <c r="F51" s="12" t="s">
        <v>347</v>
      </c>
      <c r="G51" s="12" t="s">
        <v>345</v>
      </c>
      <c r="H51" s="12" t="s">
        <v>161</v>
      </c>
      <c r="I51" s="12" t="s">
        <v>348</v>
      </c>
      <c r="J51" s="12" t="s">
        <v>51</v>
      </c>
      <c r="K51" s="14" t="n">
        <v>5142</v>
      </c>
      <c r="L51" s="12" t="s">
        <v>349</v>
      </c>
      <c r="M51" s="15" t="n">
        <f aca="false">INDEX('Price Tiers'!$H51:$M51,MATCH($C51*Summary!$B$6,'Price Tiers'!$B51:$G51,1))</f>
        <v>0.8121</v>
      </c>
      <c r="N51" s="16" t="n">
        <f aca="false">$C51*Summary!$B$6*M51</f>
        <v>0.8121</v>
      </c>
      <c r="O51" s="15" t="n">
        <f aca="false">INDEX('Price Tiers'!$H51:$M51,MATCH($C51*Summary!$B$7,'Price Tiers'!$B51:$G51,1))</f>
        <v>0.6756</v>
      </c>
      <c r="P51" s="16" t="n">
        <f aca="false">$C51*Summary!$B$7*O51</f>
        <v>6.756</v>
      </c>
      <c r="Q51" s="15" t="n">
        <f aca="false">INDEX('Price Tiers'!$H51:$M51,MATCH($C51*Summary!$B$8,'Price Tiers'!$B51:$G51,1))</f>
        <v>0.5392</v>
      </c>
      <c r="R51" s="16" t="n">
        <f aca="false">$C51*Summary!$B$8*Q51</f>
        <v>53.92</v>
      </c>
      <c r="S51" s="12" t="s">
        <v>53</v>
      </c>
      <c r="T51" s="17" t="s">
        <v>54</v>
      </c>
    </row>
    <row r="52" customFormat="false" ht="15" hidden="false" customHeight="false" outlineLevel="0" collapsed="false">
      <c r="A52" s="12" t="n">
        <v>48</v>
      </c>
      <c r="B52" s="13" t="s">
        <v>350</v>
      </c>
      <c r="C52" s="12" t="n">
        <v>1</v>
      </c>
      <c r="D52" s="12" t="s">
        <v>351</v>
      </c>
      <c r="E52" s="12" t="s">
        <v>352</v>
      </c>
      <c r="F52" s="12" t="s">
        <v>353</v>
      </c>
      <c r="G52" s="12" t="s">
        <v>354</v>
      </c>
      <c r="H52" s="12" t="s">
        <v>335</v>
      </c>
      <c r="I52" s="12" t="s">
        <v>355</v>
      </c>
      <c r="J52" s="12" t="s">
        <v>51</v>
      </c>
      <c r="K52" s="14" t="n">
        <v>595</v>
      </c>
      <c r="L52" s="12" t="s">
        <v>356</v>
      </c>
      <c r="M52" s="15" t="n">
        <f aca="false">INDEX('Price Tiers'!$H52:$M52,MATCH($C52*Summary!$B$6,'Price Tiers'!$B52:$G52,1))</f>
        <v>1.1515</v>
      </c>
      <c r="N52" s="16" t="n">
        <f aca="false">$C52*Summary!$B$6*M52</f>
        <v>1.1515</v>
      </c>
      <c r="O52" s="15" t="n">
        <f aca="false">INDEX('Price Tiers'!$H52:$M52,MATCH($C52*Summary!$B$7,'Price Tiers'!$B52:$G52,1))</f>
        <v>0.9566</v>
      </c>
      <c r="P52" s="16" t="n">
        <f aca="false">$C52*Summary!$B$7*O52</f>
        <v>9.566</v>
      </c>
      <c r="Q52" s="15" t="n">
        <f aca="false">INDEX('Price Tiers'!$H52:$M52,MATCH($C52*Summary!$B$8,'Price Tiers'!$B52:$G52,1))</f>
        <v>0.7276</v>
      </c>
      <c r="R52" s="16" t="n">
        <f aca="false">$C52*Summary!$B$8*Q52</f>
        <v>72.76</v>
      </c>
      <c r="S52" s="12" t="s">
        <v>53</v>
      </c>
      <c r="T52" s="17" t="s">
        <v>54</v>
      </c>
    </row>
    <row r="53" customFormat="false" ht="15" hidden="false" customHeight="false" outlineLevel="0" collapsed="false">
      <c r="A53" s="12" t="n">
        <v>49</v>
      </c>
      <c r="B53" s="13" t="s">
        <v>357</v>
      </c>
      <c r="C53" s="12" t="n">
        <v>1</v>
      </c>
      <c r="D53" s="12" t="s">
        <v>358</v>
      </c>
      <c r="E53" s="12" t="s">
        <v>359</v>
      </c>
      <c r="F53" s="12" t="s">
        <v>360</v>
      </c>
      <c r="G53" s="12" t="s">
        <v>358</v>
      </c>
      <c r="H53" s="12" t="s">
        <v>136</v>
      </c>
      <c r="I53" s="12" t="s">
        <v>361</v>
      </c>
      <c r="J53" s="12" t="s">
        <v>51</v>
      </c>
      <c r="K53" s="14" t="n">
        <v>3296</v>
      </c>
      <c r="L53" s="12" t="s">
        <v>362</v>
      </c>
      <c r="M53" s="15" t="n">
        <f aca="false">INDEX('Price Tiers'!$H53:$M53,MATCH($C53*Summary!$B$6,'Price Tiers'!$B53:$G53,1))</f>
        <v>0.0928</v>
      </c>
      <c r="N53" s="16" t="n">
        <f aca="false">$C53*Summary!$B$6*M53</f>
        <v>0.0928</v>
      </c>
      <c r="O53" s="15" t="n">
        <f aca="false">INDEX('Price Tiers'!$H53:$M53,MATCH($C53*Summary!$B$7,'Price Tiers'!$B53:$G53,1))</f>
        <v>0.0928</v>
      </c>
      <c r="P53" s="16" t="n">
        <f aca="false">$C53*Summary!$B$7*O53</f>
        <v>0.928</v>
      </c>
      <c r="Q53" s="15" t="n">
        <f aca="false">INDEX('Price Tiers'!$H53:$M53,MATCH($C53*Summary!$B$8,'Price Tiers'!$B53:$G53,1))</f>
        <v>0.073</v>
      </c>
      <c r="R53" s="16" t="n">
        <f aca="false">$C53*Summary!$B$8*Q53</f>
        <v>7.3</v>
      </c>
      <c r="S53" s="12" t="s">
        <v>53</v>
      </c>
      <c r="T53" s="17" t="s">
        <v>54</v>
      </c>
    </row>
    <row r="54" customFormat="false" ht="15" hidden="false" customHeight="false" outlineLevel="0" collapsed="false">
      <c r="A54" s="12" t="n">
        <v>50</v>
      </c>
      <c r="B54" s="13" t="s">
        <v>363</v>
      </c>
      <c r="C54" s="12" t="n">
        <v>1</v>
      </c>
      <c r="D54" s="12" t="s">
        <v>364</v>
      </c>
      <c r="E54" s="12" t="s">
        <v>365</v>
      </c>
      <c r="F54" s="12" t="s">
        <v>366</v>
      </c>
      <c r="G54" s="12" t="s">
        <v>367</v>
      </c>
      <c r="H54" s="12" t="s">
        <v>368</v>
      </c>
      <c r="I54" s="12" t="s">
        <v>369</v>
      </c>
      <c r="J54" s="12" t="s">
        <v>51</v>
      </c>
      <c r="K54" s="14" t="n">
        <v>0</v>
      </c>
      <c r="L54" s="12" t="s">
        <v>370</v>
      </c>
      <c r="M54" s="15" t="n">
        <f aca="false">INDEX('Price Tiers'!$H54:$M54,MATCH($C54*Summary!$B$6,'Price Tiers'!$B54:$G54,1))</f>
        <v>7.7579</v>
      </c>
      <c r="N54" s="16" t="n">
        <f aca="false">$C54*Summary!$B$6*M54</f>
        <v>7.7579</v>
      </c>
      <c r="O54" s="15" t="n">
        <f aca="false">INDEX('Price Tiers'!$H54:$M54,MATCH($C54*Summary!$B$7,'Price Tiers'!$B54:$G54,1))</f>
        <v>7.5858</v>
      </c>
      <c r="P54" s="16" t="n">
        <f aca="false">$C54*Summary!$B$7*O54</f>
        <v>75.858</v>
      </c>
      <c r="Q54" s="15" t="n">
        <f aca="false">INDEX('Price Tiers'!$H54:$M54,MATCH($C54*Summary!$B$8,'Price Tiers'!$B54:$G54,1))</f>
        <v>7.3568</v>
      </c>
      <c r="R54" s="16" t="n">
        <f aca="false">$C54*Summary!$B$8*Q54</f>
        <v>735.68</v>
      </c>
      <c r="S54" s="19" t="s">
        <v>371</v>
      </c>
      <c r="T54" s="17" t="s">
        <v>54</v>
      </c>
    </row>
    <row r="55" customFormat="false" ht="15" hidden="false" customHeight="false" outlineLevel="0" collapsed="false">
      <c r="A55" s="12" t="n">
        <v>51</v>
      </c>
      <c r="B55" s="13" t="s">
        <v>372</v>
      </c>
      <c r="C55" s="12" t="n">
        <v>1</v>
      </c>
      <c r="D55" s="12" t="s">
        <v>373</v>
      </c>
      <c r="E55" s="12" t="s">
        <v>374</v>
      </c>
      <c r="F55" s="12" t="s">
        <v>375</v>
      </c>
      <c r="G55" s="12" t="s">
        <v>373</v>
      </c>
      <c r="H55" s="12" t="s">
        <v>335</v>
      </c>
      <c r="I55" s="12" t="s">
        <v>376</v>
      </c>
      <c r="J55" s="12" t="s">
        <v>51</v>
      </c>
      <c r="K55" s="14" t="n">
        <v>4</v>
      </c>
      <c r="L55" s="12" t="s">
        <v>377</v>
      </c>
      <c r="M55" s="15" t="n">
        <f aca="false">INDEX('Price Tiers'!$H55:$M55,MATCH($C55*Summary!$B$6,'Price Tiers'!$B55:$G55,1))</f>
        <v>8.7551</v>
      </c>
      <c r="N55" s="16" t="n">
        <f aca="false">$C55*Summary!$B$6*M55</f>
        <v>8.7551</v>
      </c>
      <c r="O55" s="15" t="n">
        <f aca="false">INDEX('Price Tiers'!$H55:$M55,MATCH($C55*Summary!$B$7,'Price Tiers'!$B55:$G55,1))</f>
        <v>7.5793</v>
      </c>
      <c r="P55" s="16" t="n">
        <f aca="false">$C55*Summary!$B$7*O55</f>
        <v>75.793</v>
      </c>
      <c r="Q55" s="15" t="n">
        <f aca="false">INDEX('Price Tiers'!$H55:$M55,MATCH($C55*Summary!$B$8,'Price Tiers'!$B55:$G55,1))</f>
        <v>6.2622</v>
      </c>
      <c r="R55" s="16" t="n">
        <f aca="false">$C55*Summary!$B$8*Q55</f>
        <v>626.22</v>
      </c>
      <c r="S55" s="19" t="s">
        <v>378</v>
      </c>
      <c r="T55" s="17" t="s">
        <v>54</v>
      </c>
    </row>
    <row r="56" customFormat="false" ht="15" hidden="false" customHeight="false" outlineLevel="0" collapsed="false">
      <c r="A56" s="12" t="n">
        <v>52</v>
      </c>
      <c r="B56" s="13" t="s">
        <v>379</v>
      </c>
      <c r="C56" s="12" t="n">
        <v>1</v>
      </c>
      <c r="D56" s="12" t="s">
        <v>380</v>
      </c>
      <c r="E56" s="12" t="s">
        <v>381</v>
      </c>
      <c r="F56" s="12" t="s">
        <v>382</v>
      </c>
      <c r="G56" s="12" t="s">
        <v>380</v>
      </c>
      <c r="H56" s="12" t="s">
        <v>335</v>
      </c>
      <c r="I56" s="12" t="s">
        <v>383</v>
      </c>
      <c r="J56" s="12" t="s">
        <v>51</v>
      </c>
      <c r="K56" s="14" t="n">
        <v>7553</v>
      </c>
      <c r="L56" s="12" t="s">
        <v>384</v>
      </c>
      <c r="M56" s="15" t="n">
        <f aca="false">INDEX('Price Tiers'!$H56:$M56,MATCH($C56*Summary!$B$6,'Price Tiers'!$B56:$G56,1))</f>
        <v>0.1888</v>
      </c>
      <c r="N56" s="16" t="n">
        <f aca="false">$C56*Summary!$B$6*M56</f>
        <v>0.1888</v>
      </c>
      <c r="O56" s="15" t="n">
        <f aca="false">INDEX('Price Tiers'!$H56:$M56,MATCH($C56*Summary!$B$7,'Price Tiers'!$B56:$G56,1))</f>
        <v>0.1888</v>
      </c>
      <c r="P56" s="16" t="n">
        <f aca="false">$C56*Summary!$B$7*O56</f>
        <v>1.888</v>
      </c>
      <c r="Q56" s="15" t="n">
        <f aca="false">INDEX('Price Tiers'!$H56:$M56,MATCH($C56*Summary!$B$8,'Price Tiers'!$B56:$G56,1))</f>
        <v>0.1495</v>
      </c>
      <c r="R56" s="16" t="n">
        <f aca="false">$C56*Summary!$B$8*Q56</f>
        <v>14.95</v>
      </c>
      <c r="S56" s="12" t="s">
        <v>53</v>
      </c>
      <c r="T56" s="17" t="s">
        <v>54</v>
      </c>
    </row>
    <row r="57" customFormat="false" ht="15" hidden="false" customHeight="false" outlineLevel="0" collapsed="false">
      <c r="A57" s="12" t="n">
        <v>53</v>
      </c>
      <c r="B57" s="13" t="s">
        <v>385</v>
      </c>
      <c r="C57" s="12" t="n">
        <v>1</v>
      </c>
      <c r="D57" s="12" t="s">
        <v>386</v>
      </c>
      <c r="E57" s="12" t="s">
        <v>387</v>
      </c>
      <c r="F57" s="12" t="s">
        <v>388</v>
      </c>
      <c r="G57" s="12" t="s">
        <v>386</v>
      </c>
      <c r="H57" s="12" t="s">
        <v>389</v>
      </c>
      <c r="I57" s="12" t="s">
        <v>390</v>
      </c>
      <c r="J57" s="12" t="s">
        <v>51</v>
      </c>
      <c r="K57" s="14" t="n">
        <v>4958</v>
      </c>
      <c r="L57" s="12" t="s">
        <v>391</v>
      </c>
      <c r="M57" s="15" t="n">
        <f aca="false">INDEX('Price Tiers'!$H57:$M57,MATCH($C57*Summary!$B$6,'Price Tiers'!$B57:$G57,1))</f>
        <v>3.3634</v>
      </c>
      <c r="N57" s="16" t="n">
        <f aca="false">$C57*Summary!$B$6*M57</f>
        <v>3.3634</v>
      </c>
      <c r="O57" s="15" t="n">
        <f aca="false">INDEX('Price Tiers'!$H57:$M57,MATCH($C57*Summary!$B$7,'Price Tiers'!$B57:$G57,1))</f>
        <v>2.9931</v>
      </c>
      <c r="P57" s="16" t="n">
        <f aca="false">$C57*Summary!$B$7*O57</f>
        <v>29.931</v>
      </c>
      <c r="Q57" s="15" t="n">
        <f aca="false">INDEX('Price Tiers'!$H57:$M57,MATCH($C57*Summary!$B$8,'Price Tiers'!$B57:$G57,1))</f>
        <v>2.553</v>
      </c>
      <c r="R57" s="16" t="n">
        <f aca="false">$C57*Summary!$B$8*Q57</f>
        <v>255.3</v>
      </c>
      <c r="S57" s="12" t="s">
        <v>53</v>
      </c>
      <c r="T57" s="17" t="s">
        <v>54</v>
      </c>
    </row>
    <row r="58" customFormat="false" ht="15" hidden="false" customHeight="false" outlineLevel="0" collapsed="false">
      <c r="A58" s="12" t="n">
        <v>54</v>
      </c>
      <c r="B58" s="13" t="s">
        <v>392</v>
      </c>
      <c r="C58" s="12" t="n">
        <v>1</v>
      </c>
      <c r="D58" s="12" t="s">
        <v>393</v>
      </c>
      <c r="E58" s="12" t="s">
        <v>394</v>
      </c>
      <c r="F58" s="12" t="s">
        <v>395</v>
      </c>
      <c r="G58" s="12" t="s">
        <v>393</v>
      </c>
      <c r="H58" s="12" t="s">
        <v>396</v>
      </c>
      <c r="I58" s="12" t="s">
        <v>397</v>
      </c>
      <c r="J58" s="12" t="s">
        <v>51</v>
      </c>
      <c r="K58" s="14" t="n">
        <v>62318</v>
      </c>
      <c r="L58" s="12" t="s">
        <v>398</v>
      </c>
      <c r="M58" s="15" t="n">
        <f aca="false">INDEX('Price Tiers'!$H58:$M58,MATCH($C58*Summary!$B$6,'Price Tiers'!$B58:$G58,1))</f>
        <v>0.9923</v>
      </c>
      <c r="N58" s="16" t="n">
        <f aca="false">$C58*Summary!$B$6*M58</f>
        <v>0.9923</v>
      </c>
      <c r="O58" s="15" t="n">
        <f aca="false">INDEX('Price Tiers'!$H58:$M58,MATCH($C58*Summary!$B$7,'Price Tiers'!$B58:$G58,1))</f>
        <v>0.9062</v>
      </c>
      <c r="P58" s="16" t="n">
        <f aca="false">$C58*Summary!$B$7*O58</f>
        <v>9.062</v>
      </c>
      <c r="Q58" s="15" t="n">
        <f aca="false">INDEX('Price Tiers'!$H58:$M58,MATCH($C58*Summary!$B$8,'Price Tiers'!$B58:$G58,1))</f>
        <v>0.7633</v>
      </c>
      <c r="R58" s="16" t="n">
        <f aca="false">$C58*Summary!$B$8*Q58</f>
        <v>76.33</v>
      </c>
      <c r="S58" s="12" t="s">
        <v>53</v>
      </c>
      <c r="T58" s="17" t="s">
        <v>54</v>
      </c>
    </row>
    <row r="59" customFormat="false" ht="15" hidden="false" customHeight="false" outlineLevel="0" collapsed="false">
      <c r="A59" s="12" t="n">
        <v>55</v>
      </c>
      <c r="B59" s="13" t="s">
        <v>399</v>
      </c>
      <c r="C59" s="12" t="n">
        <v>2</v>
      </c>
      <c r="D59" s="12" t="s">
        <v>400</v>
      </c>
      <c r="E59" s="12" t="s">
        <v>401</v>
      </c>
      <c r="F59" s="12" t="s">
        <v>402</v>
      </c>
      <c r="G59" s="12" t="s">
        <v>400</v>
      </c>
      <c r="H59" s="12" t="s">
        <v>335</v>
      </c>
      <c r="I59" s="12" t="s">
        <v>403</v>
      </c>
      <c r="J59" s="12" t="s">
        <v>51</v>
      </c>
      <c r="K59" s="14" t="n">
        <v>1320</v>
      </c>
      <c r="L59" s="12" t="s">
        <v>404</v>
      </c>
      <c r="M59" s="15" t="n">
        <f aca="false">INDEX('Price Tiers'!$H59:$M59,MATCH($C59*Summary!$B$6,'Price Tiers'!$B59:$G59,1))</f>
        <v>0.6448</v>
      </c>
      <c r="N59" s="16" t="n">
        <f aca="false">$C59*Summary!$B$6*M59</f>
        <v>1.2896</v>
      </c>
      <c r="O59" s="15" t="n">
        <f aca="false">INDEX('Price Tiers'!$H59:$M59,MATCH($C59*Summary!$B$7,'Price Tiers'!$B59:$G59,1))</f>
        <v>0.549</v>
      </c>
      <c r="P59" s="16" t="n">
        <f aca="false">$C59*Summary!$B$7*O59</f>
        <v>10.98</v>
      </c>
      <c r="Q59" s="15" t="n">
        <f aca="false">INDEX('Price Tiers'!$H59:$M59,MATCH($C59*Summary!$B$8,'Price Tiers'!$B59:$G59,1))</f>
        <v>0.4255</v>
      </c>
      <c r="R59" s="16" t="n">
        <f aca="false">$C59*Summary!$B$8*Q59</f>
        <v>85.1</v>
      </c>
      <c r="S59" s="12" t="s">
        <v>53</v>
      </c>
      <c r="T59" s="17" t="s">
        <v>54</v>
      </c>
    </row>
    <row r="60" customFormat="false" ht="15" hidden="false" customHeight="false" outlineLevel="0" collapsed="false">
      <c r="A60" s="12" t="n">
        <v>56</v>
      </c>
      <c r="B60" s="13" t="s">
        <v>405</v>
      </c>
      <c r="C60" s="12" t="n">
        <v>1</v>
      </c>
      <c r="D60" s="12" t="s">
        <v>406</v>
      </c>
      <c r="E60" s="12" t="s">
        <v>407</v>
      </c>
      <c r="F60" s="12" t="s">
        <v>408</v>
      </c>
      <c r="G60" s="12" t="s">
        <v>406</v>
      </c>
      <c r="H60" s="12" t="s">
        <v>409</v>
      </c>
      <c r="I60" s="12" t="s">
        <v>410</v>
      </c>
      <c r="J60" s="12" t="s">
        <v>51</v>
      </c>
      <c r="K60" s="14" t="n">
        <v>9590</v>
      </c>
      <c r="L60" s="12" t="s">
        <v>411</v>
      </c>
      <c r="M60" s="15" t="n">
        <f aca="false">INDEX('Price Tiers'!$H60:$M60,MATCH($C60*Summary!$B$6,'Price Tiers'!$B60:$G60,1))</f>
        <v>0.2955</v>
      </c>
      <c r="N60" s="16" t="n">
        <f aca="false">$C60*Summary!$B$6*M60</f>
        <v>0.2955</v>
      </c>
      <c r="O60" s="15" t="n">
        <f aca="false">INDEX('Price Tiers'!$H60:$M60,MATCH($C60*Summary!$B$7,'Price Tiers'!$B60:$G60,1))</f>
        <v>0.2955</v>
      </c>
      <c r="P60" s="16" t="n">
        <f aca="false">$C60*Summary!$B$7*O60</f>
        <v>2.955</v>
      </c>
      <c r="Q60" s="15" t="n">
        <f aca="false">INDEX('Price Tiers'!$H60:$M60,MATCH($C60*Summary!$B$8,'Price Tiers'!$B60:$G60,1))</f>
        <v>0.2316</v>
      </c>
      <c r="R60" s="16" t="n">
        <f aca="false">$C60*Summary!$B$8*Q60</f>
        <v>23.16</v>
      </c>
      <c r="S60" s="12" t="s">
        <v>53</v>
      </c>
      <c r="T60" s="17" t="s">
        <v>54</v>
      </c>
    </row>
    <row r="61" customFormat="false" ht="15" hidden="false" customHeight="false" outlineLevel="0" collapsed="false">
      <c r="A61" s="20"/>
      <c r="B61" s="21" t="s">
        <v>412</v>
      </c>
      <c r="C61" s="21" t="n">
        <f aca="false">SUM(C5:C60)</f>
        <v>209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2" t="n">
        <f aca="false">SUM(N5:N60)</f>
        <v>58.7997</v>
      </c>
      <c r="O61" s="20"/>
      <c r="P61" s="22" t="n">
        <f aca="false">SUM(P5:P60)</f>
        <v>522.614</v>
      </c>
      <c r="Q61" s="20"/>
      <c r="R61" s="22" t="n">
        <f aca="false">SUM(R5:R60)</f>
        <v>4489.81</v>
      </c>
      <c r="S61" s="20"/>
    </row>
    <row r="63" customFormat="false" ht="15" hidden="false" customHeight="false" outlineLevel="0" collapsed="false">
      <c r="B63" s="23" t="s">
        <v>413</v>
      </c>
    </row>
    <row r="64" customFormat="false" ht="15" hidden="false" customHeight="false" outlineLevel="0" collapsed="false">
      <c r="B64" s="10" t="s">
        <v>414</v>
      </c>
    </row>
    <row r="65" customFormat="false" ht="15" hidden="false" customHeight="false" outlineLevel="0" collapsed="false">
      <c r="B65" s="10" t="s">
        <v>415</v>
      </c>
    </row>
    <row r="66" customFormat="false" ht="15" hidden="false" customHeight="false" outlineLevel="0" collapsed="false">
      <c r="B66" s="10" t="s">
        <v>416</v>
      </c>
    </row>
    <row r="67" customFormat="false" ht="15" hidden="false" customHeight="false" outlineLevel="0" collapsed="false">
      <c r="B67" s="10" t="s">
        <v>417</v>
      </c>
    </row>
    <row r="68" customFormat="false" ht="15" hidden="false" customHeight="false" outlineLevel="0" collapsed="false">
      <c r="B68" s="10" t="s">
        <v>418</v>
      </c>
    </row>
    <row r="69" customFormat="false" ht="15" hidden="false" customHeight="false" outlineLevel="0" collapsed="false">
      <c r="B69" s="10" t="s">
        <v>419</v>
      </c>
    </row>
    <row r="70" customFormat="false" ht="15" hidden="false" customHeight="false" outlineLevel="0" collapsed="false">
      <c r="B70" s="10" t="s">
        <v>420</v>
      </c>
    </row>
  </sheetData>
  <autoFilter ref="A4:T60"/>
  <hyperlinks>
    <hyperlink ref="T5" r:id="rId1" display="LCSC"/>
    <hyperlink ref="T6" r:id="rId2" display="LCSC"/>
    <hyperlink ref="T7" r:id="rId3" display="LCSC"/>
    <hyperlink ref="T8" r:id="rId4" display="LCSC"/>
    <hyperlink ref="T9" r:id="rId5" display="LCSC"/>
    <hyperlink ref="T10" r:id="rId6" display="LCSC"/>
    <hyperlink ref="T11" r:id="rId7" display="LCSC"/>
    <hyperlink ref="T12" r:id="rId8" display="LCSC"/>
    <hyperlink ref="T13" r:id="rId9" display="LCSC"/>
    <hyperlink ref="T14" r:id="rId10" display="LCSC"/>
    <hyperlink ref="T15" r:id="rId11" display="LCSC"/>
    <hyperlink ref="T16" r:id="rId12" display="LCSC"/>
    <hyperlink ref="T17" r:id="rId13" display="LCSC"/>
    <hyperlink ref="T18" r:id="rId14" display="LCSC"/>
    <hyperlink ref="T19" r:id="rId15" display="LCSC"/>
    <hyperlink ref="T20" r:id="rId16" display="LCSC"/>
    <hyperlink ref="T21" r:id="rId17" display="LCSC"/>
    <hyperlink ref="T22" r:id="rId18" display="LCSC"/>
    <hyperlink ref="T23" r:id="rId19" display="LCSC"/>
    <hyperlink ref="T24" r:id="rId20" display="LCSC"/>
    <hyperlink ref="T25" r:id="rId21" display="LCSC"/>
    <hyperlink ref="T26" r:id="rId22" display="LCSC"/>
    <hyperlink ref="T27" r:id="rId23" display="LCSC"/>
    <hyperlink ref="T28" r:id="rId24" display="LCSC"/>
    <hyperlink ref="T29" r:id="rId25" display="LCSC"/>
    <hyperlink ref="T30" r:id="rId26" display="LCSC"/>
    <hyperlink ref="T31" r:id="rId27" display="LCSC"/>
    <hyperlink ref="T32" r:id="rId28" display="LCSC"/>
    <hyperlink ref="T33" r:id="rId29" display="LCSC"/>
    <hyperlink ref="T34" r:id="rId30" display="LCSC"/>
    <hyperlink ref="T35" r:id="rId31" display="LCSC"/>
    <hyperlink ref="T36" r:id="rId32" display="LCSC"/>
    <hyperlink ref="T37" r:id="rId33" display="LCSC"/>
    <hyperlink ref="T38" r:id="rId34" display="LCSC"/>
    <hyperlink ref="T39" r:id="rId35" display="LCSC"/>
    <hyperlink ref="T40" r:id="rId36" display="LCSC"/>
    <hyperlink ref="T41" r:id="rId37" display="LCSC"/>
    <hyperlink ref="T42" r:id="rId38" display="LCSC"/>
    <hyperlink ref="T43" r:id="rId39" display="LCSC"/>
    <hyperlink ref="T44" r:id="rId40" display="LCSC"/>
    <hyperlink ref="T45" r:id="rId41" display="LCSC"/>
    <hyperlink ref="T46" r:id="rId42" display="LCSC"/>
    <hyperlink ref="T47" r:id="rId43" display="LCSC"/>
    <hyperlink ref="T48" r:id="rId44" display="LCSC"/>
    <hyperlink ref="T49" r:id="rId45" display="LCSC"/>
    <hyperlink ref="T50" r:id="rId46" display="LCSC"/>
    <hyperlink ref="T51" r:id="rId47" display="LCSC"/>
    <hyperlink ref="T52" r:id="rId48" display="LCSC"/>
    <hyperlink ref="T53" r:id="rId49" display="LCSC"/>
    <hyperlink ref="T54" r:id="rId50" display="LCSC"/>
    <hyperlink ref="T55" r:id="rId51" display="LCSC"/>
    <hyperlink ref="T56" r:id="rId52" display="LCSC"/>
    <hyperlink ref="T57" r:id="rId53" display="LCSC"/>
    <hyperlink ref="T58" r:id="rId54" display="LCSC"/>
    <hyperlink ref="T59" r:id="rId55" display="LCSC"/>
    <hyperlink ref="T60" r:id="rId56" display="LC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24" t="s">
        <v>421</v>
      </c>
    </row>
    <row r="2" customFormat="false" ht="15" hidden="false" customHeight="false" outlineLevel="0" collapsed="false">
      <c r="A2" s="2" t="s">
        <v>422</v>
      </c>
    </row>
    <row r="4" customFormat="false" ht="15" hidden="false" customHeight="false" outlineLevel="0" collapsed="false">
      <c r="A4" s="11" t="s">
        <v>29</v>
      </c>
      <c r="B4" s="11" t="s">
        <v>423</v>
      </c>
      <c r="C4" s="11" t="s">
        <v>424</v>
      </c>
      <c r="D4" s="11" t="s">
        <v>425</v>
      </c>
      <c r="E4" s="11" t="s">
        <v>426</v>
      </c>
      <c r="F4" s="11" t="s">
        <v>427</v>
      </c>
      <c r="G4" s="11" t="s">
        <v>428</v>
      </c>
      <c r="H4" s="11" t="s">
        <v>429</v>
      </c>
      <c r="I4" s="11" t="s">
        <v>430</v>
      </c>
      <c r="J4" s="11" t="s">
        <v>431</v>
      </c>
      <c r="K4" s="11" t="s">
        <v>432</v>
      </c>
      <c r="L4" s="11" t="s">
        <v>433</v>
      </c>
      <c r="M4" s="11" t="s">
        <v>434</v>
      </c>
      <c r="N4" s="11" t="s">
        <v>435</v>
      </c>
    </row>
    <row r="5" customFormat="false" ht="15" hidden="false" customHeight="false" outlineLevel="0" collapsed="false">
      <c r="A5" s="25" t="s">
        <v>47</v>
      </c>
      <c r="B5" s="6" t="n">
        <v>1</v>
      </c>
      <c r="C5" s="6" t="n">
        <v>500</v>
      </c>
      <c r="D5" s="6" t="n">
        <v>1500</v>
      </c>
      <c r="E5" s="6" t="n">
        <v>10000</v>
      </c>
      <c r="F5" s="6" t="n">
        <v>20000</v>
      </c>
      <c r="G5" s="6" t="n">
        <v>50000</v>
      </c>
      <c r="H5" s="26" t="n">
        <v>0.0129</v>
      </c>
      <c r="I5" s="26" t="n">
        <v>0.0111</v>
      </c>
      <c r="J5" s="26" t="n">
        <v>0.0101</v>
      </c>
      <c r="K5" s="26" t="n">
        <v>0.0093</v>
      </c>
      <c r="L5" s="26" t="n">
        <v>0.0088</v>
      </c>
      <c r="M5" s="26" t="n">
        <v>0.0085</v>
      </c>
      <c r="N5" s="25" t="n">
        <v>1</v>
      </c>
    </row>
    <row r="6" customFormat="false" ht="15" hidden="false" customHeight="false" outlineLevel="0" collapsed="false">
      <c r="A6" s="25" t="s">
        <v>58</v>
      </c>
      <c r="B6" s="6" t="n">
        <v>1</v>
      </c>
      <c r="C6" s="6" t="n">
        <v>100</v>
      </c>
      <c r="D6" s="6" t="n">
        <v>300</v>
      </c>
      <c r="E6" s="6" t="n">
        <v>3000</v>
      </c>
      <c r="F6" s="6" t="n">
        <v>6000</v>
      </c>
      <c r="G6" s="6" t="n">
        <v>9000</v>
      </c>
      <c r="H6" s="26" t="n">
        <v>0.1064</v>
      </c>
      <c r="I6" s="26" t="n">
        <v>0.0941</v>
      </c>
      <c r="J6" s="26" t="n">
        <v>0.0877</v>
      </c>
      <c r="K6" s="26" t="n">
        <v>0.0824</v>
      </c>
      <c r="L6" s="26" t="n">
        <v>0.0806</v>
      </c>
      <c r="M6" s="26" t="n">
        <v>0.0795</v>
      </c>
      <c r="N6" s="25" t="n">
        <v>1</v>
      </c>
    </row>
    <row r="7" customFormat="false" ht="15" hidden="false" customHeight="false" outlineLevel="0" collapsed="false">
      <c r="A7" s="25" t="s">
        <v>65</v>
      </c>
      <c r="B7" s="6" t="n">
        <v>1</v>
      </c>
      <c r="C7" s="6" t="n">
        <v>10</v>
      </c>
      <c r="D7" s="6" t="n">
        <v>30</v>
      </c>
      <c r="E7" s="6" t="n">
        <v>100</v>
      </c>
      <c r="F7" s="6" t="n">
        <v>500</v>
      </c>
      <c r="G7" s="6" t="n">
        <v>1000</v>
      </c>
      <c r="H7" s="26" t="n">
        <v>0.9111</v>
      </c>
      <c r="I7" s="26" t="n">
        <v>0.8056</v>
      </c>
      <c r="J7" s="26" t="n">
        <v>0.7601</v>
      </c>
      <c r="K7" s="26" t="n">
        <v>0.7032</v>
      </c>
      <c r="L7" s="26" t="n">
        <v>0.6448</v>
      </c>
      <c r="M7" s="26" t="n">
        <v>0.6285</v>
      </c>
      <c r="N7" s="25" t="n">
        <v>1</v>
      </c>
    </row>
    <row r="8" customFormat="false" ht="15" hidden="false" customHeight="false" outlineLevel="0" collapsed="false">
      <c r="A8" s="25" t="s">
        <v>73</v>
      </c>
      <c r="B8" s="6" t="n">
        <v>1</v>
      </c>
      <c r="C8" s="6" t="n">
        <v>500</v>
      </c>
      <c r="D8" s="6" t="n">
        <v>1500</v>
      </c>
      <c r="E8" s="6" t="n">
        <v>4000</v>
      </c>
      <c r="F8" s="6" t="n">
        <v>24000</v>
      </c>
      <c r="G8" s="6" t="n">
        <v>48000</v>
      </c>
      <c r="H8" s="26" t="n">
        <v>0.0157</v>
      </c>
      <c r="I8" s="26" t="n">
        <v>0.012</v>
      </c>
      <c r="J8" s="26" t="n">
        <v>0.0104</v>
      </c>
      <c r="K8" s="26" t="n">
        <v>0.0091</v>
      </c>
      <c r="L8" s="26" t="n">
        <v>0.0086</v>
      </c>
      <c r="M8" s="26" t="n">
        <v>0.0083</v>
      </c>
      <c r="N8" s="25" t="n">
        <v>1</v>
      </c>
    </row>
    <row r="9" customFormat="false" ht="15" hidden="false" customHeight="false" outlineLevel="0" collapsed="false">
      <c r="A9" s="25" t="s">
        <v>81</v>
      </c>
      <c r="B9" s="6" t="n">
        <v>1</v>
      </c>
      <c r="C9" s="6" t="n">
        <v>500</v>
      </c>
      <c r="D9" s="6" t="n">
        <v>1500</v>
      </c>
      <c r="E9" s="6" t="n">
        <v>5000</v>
      </c>
      <c r="F9" s="6" t="n">
        <v>25000</v>
      </c>
      <c r="G9" s="6" t="n">
        <v>25000</v>
      </c>
      <c r="H9" s="26" t="n">
        <v>0.0056</v>
      </c>
      <c r="I9" s="26" t="n">
        <v>0.0048</v>
      </c>
      <c r="J9" s="26" t="n">
        <v>0.0043</v>
      </c>
      <c r="K9" s="26" t="n">
        <v>0.0041</v>
      </c>
      <c r="L9" s="26" t="n">
        <v>0.0038</v>
      </c>
      <c r="M9" s="26" t="n">
        <v>0.0038</v>
      </c>
      <c r="N9" s="25" t="n">
        <v>1</v>
      </c>
    </row>
    <row r="10" customFormat="false" ht="15" hidden="false" customHeight="false" outlineLevel="0" collapsed="false">
      <c r="A10" s="25" t="s">
        <v>87</v>
      </c>
      <c r="B10" s="6" t="n">
        <v>1</v>
      </c>
      <c r="C10" s="6" t="n">
        <v>10</v>
      </c>
      <c r="D10" s="6" t="n">
        <v>30</v>
      </c>
      <c r="E10" s="6" t="n">
        <v>100</v>
      </c>
      <c r="F10" s="6" t="n">
        <v>500</v>
      </c>
      <c r="G10" s="6" t="n">
        <v>1000</v>
      </c>
      <c r="H10" s="26" t="n">
        <v>0.9046</v>
      </c>
      <c r="I10" s="26" t="n">
        <v>0.7942</v>
      </c>
      <c r="J10" s="26" t="n">
        <v>0.7406</v>
      </c>
      <c r="K10" s="26" t="n">
        <v>0.6935</v>
      </c>
      <c r="L10" s="26" t="n">
        <v>0.6805</v>
      </c>
      <c r="M10" s="26" t="n">
        <v>0.6724</v>
      </c>
      <c r="N10" s="25" t="n">
        <v>1</v>
      </c>
    </row>
    <row r="11" customFormat="false" ht="15" hidden="false" customHeight="false" outlineLevel="0" collapsed="false">
      <c r="A11" s="25" t="s">
        <v>93</v>
      </c>
      <c r="B11" s="6" t="n">
        <v>1</v>
      </c>
      <c r="C11" s="6" t="n">
        <v>200</v>
      </c>
      <c r="D11" s="6" t="n">
        <v>600</v>
      </c>
      <c r="E11" s="6" t="n">
        <v>4000</v>
      </c>
      <c r="F11" s="6" t="n">
        <v>8000</v>
      </c>
      <c r="G11" s="6" t="n">
        <v>20000</v>
      </c>
      <c r="H11" s="26" t="n">
        <v>0.027</v>
      </c>
      <c r="I11" s="26" t="n">
        <v>0.0215</v>
      </c>
      <c r="J11" s="26" t="n">
        <v>0.0186</v>
      </c>
      <c r="K11" s="26" t="n">
        <v>0.0166</v>
      </c>
      <c r="L11" s="26" t="n">
        <v>0.0151</v>
      </c>
      <c r="M11" s="26" t="n">
        <v>0.0142</v>
      </c>
      <c r="N11" s="25" t="n">
        <v>1</v>
      </c>
    </row>
    <row r="12" customFormat="false" ht="15" hidden="false" customHeight="false" outlineLevel="0" collapsed="false">
      <c r="A12" s="25" t="s">
        <v>100</v>
      </c>
      <c r="B12" s="6" t="n">
        <v>1</v>
      </c>
      <c r="C12" s="6" t="n">
        <v>10</v>
      </c>
      <c r="D12" s="6" t="n">
        <v>30</v>
      </c>
      <c r="E12" s="6" t="n">
        <v>100</v>
      </c>
      <c r="F12" s="6" t="n">
        <v>500</v>
      </c>
      <c r="G12" s="6" t="n">
        <v>1000</v>
      </c>
      <c r="H12" s="26" t="n">
        <v>0.3557</v>
      </c>
      <c r="I12" s="26" t="n">
        <v>0.2745</v>
      </c>
      <c r="J12" s="26" t="n">
        <v>0.2339</v>
      </c>
      <c r="K12" s="26" t="n">
        <v>0.1998</v>
      </c>
      <c r="L12" s="26" t="n">
        <v>0.1901</v>
      </c>
      <c r="M12" s="26" t="n">
        <v>0.1836</v>
      </c>
      <c r="N12" s="25" t="n">
        <v>1</v>
      </c>
    </row>
    <row r="13" customFormat="false" ht="15" hidden="false" customHeight="false" outlineLevel="0" collapsed="false">
      <c r="A13" s="25" t="s">
        <v>106</v>
      </c>
      <c r="B13" s="6" t="n">
        <v>1</v>
      </c>
      <c r="C13" s="6" t="n">
        <v>1000</v>
      </c>
      <c r="D13" s="6" t="n">
        <v>3000</v>
      </c>
      <c r="E13" s="6" t="n">
        <v>10000</v>
      </c>
      <c r="F13" s="6" t="n">
        <v>50000</v>
      </c>
      <c r="G13" s="6" t="n">
        <v>50000</v>
      </c>
      <c r="H13" s="26" t="n">
        <v>0.0047</v>
      </c>
      <c r="I13" s="26" t="n">
        <v>0.0038</v>
      </c>
      <c r="J13" s="26" t="n">
        <v>0.0033</v>
      </c>
      <c r="K13" s="26" t="n">
        <v>0.0029</v>
      </c>
      <c r="L13" s="26" t="n">
        <v>0.0026</v>
      </c>
      <c r="M13" s="26" t="n">
        <v>0.0026</v>
      </c>
      <c r="N13" s="25" t="n">
        <v>1</v>
      </c>
    </row>
    <row r="14" customFormat="false" ht="15" hidden="false" customHeight="false" outlineLevel="0" collapsed="false">
      <c r="A14" s="25" t="s">
        <v>113</v>
      </c>
      <c r="B14" s="6" t="n">
        <v>1</v>
      </c>
      <c r="C14" s="6" t="n">
        <v>10</v>
      </c>
      <c r="D14" s="6" t="n">
        <v>30</v>
      </c>
      <c r="E14" s="6" t="n">
        <v>100</v>
      </c>
      <c r="F14" s="6" t="n">
        <v>500</v>
      </c>
      <c r="G14" s="6" t="n">
        <v>1000</v>
      </c>
      <c r="H14" s="26" t="n">
        <v>0.3703</v>
      </c>
      <c r="I14" s="26" t="n">
        <v>0.2979</v>
      </c>
      <c r="J14" s="26" t="n">
        <v>0.2627</v>
      </c>
      <c r="K14" s="26" t="n">
        <v>0.2311</v>
      </c>
      <c r="L14" s="26" t="n">
        <v>0.2225</v>
      </c>
      <c r="M14" s="26" t="n">
        <v>0.1824</v>
      </c>
      <c r="N14" s="25" t="n">
        <v>1</v>
      </c>
    </row>
    <row r="15" customFormat="false" ht="15" hidden="false" customHeight="false" outlineLevel="0" collapsed="false">
      <c r="A15" s="25" t="s">
        <v>119</v>
      </c>
      <c r="B15" s="6" t="n">
        <v>1</v>
      </c>
      <c r="C15" s="6" t="n">
        <v>200</v>
      </c>
      <c r="D15" s="6" t="n">
        <v>600</v>
      </c>
      <c r="E15" s="6" t="n">
        <v>2000</v>
      </c>
      <c r="F15" s="6" t="n">
        <v>10000</v>
      </c>
      <c r="G15" s="6" t="n">
        <v>20000</v>
      </c>
      <c r="H15" s="26" t="n">
        <v>0.0372</v>
      </c>
      <c r="I15" s="26" t="n">
        <v>0.0294</v>
      </c>
      <c r="J15" s="26" t="n">
        <v>0.0255</v>
      </c>
      <c r="K15" s="26" t="n">
        <v>0.0226</v>
      </c>
      <c r="L15" s="26" t="n">
        <v>0.0204</v>
      </c>
      <c r="M15" s="26" t="n">
        <v>0.0192</v>
      </c>
      <c r="N15" s="25" t="n">
        <v>1</v>
      </c>
    </row>
    <row r="16" customFormat="false" ht="15" hidden="false" customHeight="false" outlineLevel="0" collapsed="false">
      <c r="A16" s="25" t="s">
        <v>127</v>
      </c>
      <c r="B16" s="6" t="n">
        <v>1</v>
      </c>
      <c r="C16" s="6" t="n">
        <v>500</v>
      </c>
      <c r="D16" s="6" t="n">
        <v>3000</v>
      </c>
      <c r="E16" s="6" t="n">
        <v>6000</v>
      </c>
      <c r="F16" s="6" t="n">
        <v>24000</v>
      </c>
      <c r="G16" s="6" t="n">
        <v>45000</v>
      </c>
      <c r="H16" s="26" t="n">
        <v>0.0192</v>
      </c>
      <c r="I16" s="26" t="n">
        <v>0.0153</v>
      </c>
      <c r="J16" s="26" t="n">
        <v>0.0126</v>
      </c>
      <c r="K16" s="26" t="n">
        <v>0.0113</v>
      </c>
      <c r="L16" s="26" t="n">
        <v>0.0102</v>
      </c>
      <c r="M16" s="26" t="n">
        <v>0.0096</v>
      </c>
      <c r="N16" s="25" t="n">
        <v>1</v>
      </c>
    </row>
    <row r="17" customFormat="false" ht="15" hidden="false" customHeight="false" outlineLevel="0" collapsed="false">
      <c r="A17" s="25" t="s">
        <v>135</v>
      </c>
      <c r="B17" s="6" t="n">
        <v>1</v>
      </c>
      <c r="C17" s="6" t="n">
        <v>50</v>
      </c>
      <c r="D17" s="6" t="n">
        <v>150</v>
      </c>
      <c r="E17" s="6" t="n">
        <v>500</v>
      </c>
      <c r="F17" s="6" t="n">
        <v>500</v>
      </c>
      <c r="G17" s="6" t="n">
        <v>500</v>
      </c>
      <c r="H17" s="26" t="n">
        <v>0.1988</v>
      </c>
      <c r="I17" s="26" t="n">
        <v>0.1949</v>
      </c>
      <c r="J17" s="26" t="n">
        <v>0.1922</v>
      </c>
      <c r="K17" s="26" t="n">
        <v>0.1896</v>
      </c>
      <c r="L17" s="26" t="n">
        <v>0.1896</v>
      </c>
      <c r="M17" s="26" t="n">
        <v>0.1896</v>
      </c>
      <c r="N17" s="25" t="n">
        <v>1</v>
      </c>
    </row>
    <row r="18" customFormat="false" ht="15" hidden="false" customHeight="false" outlineLevel="0" collapsed="false">
      <c r="A18" s="25" t="s">
        <v>142</v>
      </c>
      <c r="B18" s="6" t="n">
        <v>1</v>
      </c>
      <c r="C18" s="6" t="n">
        <v>50</v>
      </c>
      <c r="D18" s="6" t="n">
        <v>150</v>
      </c>
      <c r="E18" s="6" t="n">
        <v>500</v>
      </c>
      <c r="F18" s="6" t="n">
        <v>3000</v>
      </c>
      <c r="G18" s="6" t="n">
        <v>6000</v>
      </c>
      <c r="H18" s="26" t="n">
        <v>0.1272</v>
      </c>
      <c r="I18" s="26" t="n">
        <v>0.103</v>
      </c>
      <c r="J18" s="26" t="n">
        <v>0.0908</v>
      </c>
      <c r="K18" s="26" t="n">
        <v>0.0817</v>
      </c>
      <c r="L18" s="26" t="n">
        <v>0.0744</v>
      </c>
      <c r="M18" s="26" t="n">
        <v>0.0709</v>
      </c>
      <c r="N18" s="25" t="n">
        <v>1</v>
      </c>
    </row>
    <row r="19" customFormat="false" ht="15" hidden="false" customHeight="false" outlineLevel="0" collapsed="false">
      <c r="A19" s="25" t="s">
        <v>148</v>
      </c>
      <c r="B19" s="6" t="n">
        <v>1</v>
      </c>
      <c r="C19" s="6" t="n">
        <v>50</v>
      </c>
      <c r="D19" s="6" t="n">
        <v>150</v>
      </c>
      <c r="E19" s="6" t="n">
        <v>500</v>
      </c>
      <c r="F19" s="6" t="n">
        <v>2000</v>
      </c>
      <c r="G19" s="6" t="n">
        <v>4000</v>
      </c>
      <c r="H19" s="26" t="n">
        <v>0.3013</v>
      </c>
      <c r="I19" s="26" t="n">
        <v>0.2336</v>
      </c>
      <c r="J19" s="26" t="n">
        <v>0.2045</v>
      </c>
      <c r="K19" s="26" t="n">
        <v>0.1683</v>
      </c>
      <c r="L19" s="26" t="n">
        <v>0.1522</v>
      </c>
      <c r="M19" s="26" t="n">
        <v>0.1425</v>
      </c>
      <c r="N19" s="25" t="n">
        <v>1</v>
      </c>
    </row>
    <row r="20" customFormat="false" ht="15" hidden="false" customHeight="false" outlineLevel="0" collapsed="false">
      <c r="A20" s="25" t="s">
        <v>153</v>
      </c>
      <c r="B20" s="6" t="n">
        <v>1</v>
      </c>
      <c r="C20" s="6" t="n">
        <v>50</v>
      </c>
      <c r="D20" s="6" t="n">
        <v>150</v>
      </c>
      <c r="E20" s="6" t="n">
        <v>500</v>
      </c>
      <c r="F20" s="6" t="n">
        <v>2500</v>
      </c>
      <c r="G20" s="6" t="n">
        <v>4500</v>
      </c>
      <c r="H20" s="26" t="n">
        <v>0.1102</v>
      </c>
      <c r="I20" s="26" t="n">
        <v>0.0882</v>
      </c>
      <c r="J20" s="26" t="n">
        <v>0.0774</v>
      </c>
      <c r="K20" s="26" t="n">
        <v>0.0692</v>
      </c>
      <c r="L20" s="26" t="n">
        <v>0.0579</v>
      </c>
      <c r="M20" s="26" t="n">
        <v>0.0546</v>
      </c>
      <c r="N20" s="25" t="n">
        <v>1</v>
      </c>
    </row>
    <row r="21" customFormat="false" ht="15" hidden="false" customHeight="false" outlineLevel="0" collapsed="false">
      <c r="A21" s="25" t="s">
        <v>160</v>
      </c>
      <c r="B21" s="6" t="n">
        <v>1</v>
      </c>
      <c r="C21" s="6" t="n">
        <v>50</v>
      </c>
      <c r="D21" s="6" t="n">
        <v>150</v>
      </c>
      <c r="E21" s="6" t="n">
        <v>500</v>
      </c>
      <c r="F21" s="6" t="n">
        <v>2500</v>
      </c>
      <c r="G21" s="6" t="n">
        <v>5000</v>
      </c>
      <c r="H21" s="26" t="n">
        <v>0.2565</v>
      </c>
      <c r="I21" s="26" t="n">
        <v>0.2074</v>
      </c>
      <c r="J21" s="26" t="n">
        <v>0.1865</v>
      </c>
      <c r="K21" s="26" t="n">
        <v>0.1499</v>
      </c>
      <c r="L21" s="26" t="n">
        <v>0.1383</v>
      </c>
      <c r="M21" s="26" t="n">
        <v>0.1313</v>
      </c>
      <c r="N21" s="25" t="n">
        <v>1</v>
      </c>
    </row>
    <row r="22" customFormat="false" ht="15" hidden="false" customHeight="false" outlineLevel="0" collapsed="false">
      <c r="A22" s="25" t="s">
        <v>167</v>
      </c>
      <c r="B22" s="6" t="n">
        <v>1</v>
      </c>
      <c r="C22" s="6" t="n">
        <v>10</v>
      </c>
      <c r="D22" s="6" t="n">
        <v>30</v>
      </c>
      <c r="E22" s="6" t="n">
        <v>100</v>
      </c>
      <c r="F22" s="6" t="n">
        <v>500</v>
      </c>
      <c r="G22" s="6" t="n">
        <v>1000</v>
      </c>
      <c r="H22" s="26" t="n">
        <v>3.5891</v>
      </c>
      <c r="I22" s="26" t="n">
        <v>3.0532</v>
      </c>
      <c r="J22" s="26" t="n">
        <v>2.7349</v>
      </c>
      <c r="K22" s="26" t="n">
        <v>2.4133</v>
      </c>
      <c r="L22" s="26" t="n">
        <v>2.2655</v>
      </c>
      <c r="M22" s="26" t="n">
        <v>2.1973</v>
      </c>
      <c r="N22" s="25" t="n">
        <v>1</v>
      </c>
    </row>
    <row r="23" customFormat="false" ht="15" hidden="false" customHeight="false" outlineLevel="0" collapsed="false">
      <c r="A23" s="25" t="s">
        <v>174</v>
      </c>
      <c r="B23" s="6" t="n">
        <v>1</v>
      </c>
      <c r="C23" s="6" t="n">
        <v>100</v>
      </c>
      <c r="D23" s="6" t="n">
        <v>300</v>
      </c>
      <c r="E23" s="6" t="n">
        <v>3000</v>
      </c>
      <c r="F23" s="6" t="n">
        <v>6000</v>
      </c>
      <c r="G23" s="6" t="n">
        <v>9000</v>
      </c>
      <c r="H23" s="26" t="n">
        <v>0.0687</v>
      </c>
      <c r="I23" s="26" t="n">
        <v>0.0553</v>
      </c>
      <c r="J23" s="26" t="n">
        <v>0.0486</v>
      </c>
      <c r="K23" s="26" t="n">
        <v>0.0368</v>
      </c>
      <c r="L23" s="26" t="n">
        <v>0.0327</v>
      </c>
      <c r="M23" s="26" t="n">
        <v>0.0307</v>
      </c>
      <c r="N23" s="25" t="n">
        <v>1</v>
      </c>
    </row>
    <row r="24" customFormat="false" ht="15" hidden="false" customHeight="false" outlineLevel="0" collapsed="false">
      <c r="A24" s="25" t="s">
        <v>181</v>
      </c>
      <c r="B24" s="6" t="n">
        <v>1</v>
      </c>
      <c r="C24" s="6" t="n">
        <v>50</v>
      </c>
      <c r="D24" s="6" t="n">
        <v>150</v>
      </c>
      <c r="E24" s="6" t="n">
        <v>500</v>
      </c>
      <c r="F24" s="6" t="n">
        <v>2500</v>
      </c>
      <c r="G24" s="6" t="n">
        <v>4000</v>
      </c>
      <c r="H24" s="26" t="n">
        <v>0.213</v>
      </c>
      <c r="I24" s="26" t="n">
        <v>0.1828</v>
      </c>
      <c r="J24" s="26" t="n">
        <v>0.1676</v>
      </c>
      <c r="K24" s="26" t="n">
        <v>0.1563</v>
      </c>
      <c r="L24" s="26" t="n">
        <v>0.1434</v>
      </c>
      <c r="M24" s="26" t="n">
        <v>0.1389</v>
      </c>
      <c r="N24" s="25" t="n">
        <v>1</v>
      </c>
    </row>
    <row r="25" customFormat="false" ht="15" hidden="false" customHeight="false" outlineLevel="0" collapsed="false">
      <c r="A25" s="25" t="s">
        <v>185</v>
      </c>
      <c r="B25" s="6" t="n">
        <v>1</v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26" t="n">
        <v>0.7227</v>
      </c>
      <c r="I25" s="26" t="n">
        <v>0.7227</v>
      </c>
      <c r="J25" s="26" t="n">
        <v>0.7227</v>
      </c>
      <c r="K25" s="26" t="n">
        <v>0.7227</v>
      </c>
      <c r="L25" s="26" t="n">
        <v>0.7227</v>
      </c>
      <c r="M25" s="26" t="n">
        <v>0.7227</v>
      </c>
      <c r="N25" s="25" t="n">
        <v>1</v>
      </c>
    </row>
    <row r="26" customFormat="false" ht="15" hidden="false" customHeight="false" outlineLevel="0" collapsed="false">
      <c r="A26" s="25" t="s">
        <v>192</v>
      </c>
      <c r="B26" s="6" t="n">
        <v>1</v>
      </c>
      <c r="C26" s="6" t="n">
        <v>10</v>
      </c>
      <c r="D26" s="6" t="n">
        <v>200</v>
      </c>
      <c r="E26" s="6" t="n">
        <v>1000</v>
      </c>
      <c r="F26" s="6" t="n">
        <v>1000</v>
      </c>
      <c r="G26" s="6" t="n">
        <v>1000</v>
      </c>
      <c r="H26" s="26" t="n">
        <v>1.283</v>
      </c>
      <c r="I26" s="26" t="n">
        <v>1.2132</v>
      </c>
      <c r="J26" s="26" t="n">
        <v>1.0378</v>
      </c>
      <c r="K26" s="26" t="n">
        <v>1.0037</v>
      </c>
      <c r="L26" s="26" t="n">
        <v>1.0037</v>
      </c>
      <c r="M26" s="26" t="n">
        <v>1.0037</v>
      </c>
      <c r="N26" s="25" t="n">
        <v>1</v>
      </c>
    </row>
    <row r="27" customFormat="false" ht="15" hidden="false" customHeight="false" outlineLevel="0" collapsed="false">
      <c r="A27" s="25" t="s">
        <v>199</v>
      </c>
      <c r="B27" s="6" t="n">
        <v>1</v>
      </c>
      <c r="C27" s="6" t="n">
        <v>10</v>
      </c>
      <c r="D27" s="6" t="n">
        <v>200</v>
      </c>
      <c r="E27" s="6" t="n">
        <v>1000</v>
      </c>
      <c r="F27" s="6" t="n">
        <v>1000</v>
      </c>
      <c r="G27" s="6" t="n">
        <v>1000</v>
      </c>
      <c r="H27" s="26" t="n">
        <v>1.2083</v>
      </c>
      <c r="I27" s="26" t="n">
        <v>1.1385</v>
      </c>
      <c r="J27" s="26" t="n">
        <v>0.9631</v>
      </c>
      <c r="K27" s="26" t="n">
        <v>0.929</v>
      </c>
      <c r="L27" s="26" t="n">
        <v>0.929</v>
      </c>
      <c r="M27" s="26" t="n">
        <v>0.929</v>
      </c>
      <c r="N27" s="25" t="n">
        <v>1</v>
      </c>
    </row>
    <row r="28" customFormat="false" ht="15" hidden="false" customHeight="false" outlineLevel="0" collapsed="false">
      <c r="A28" s="25" t="s">
        <v>204</v>
      </c>
      <c r="B28" s="6" t="n">
        <v>1</v>
      </c>
      <c r="C28" s="6" t="n">
        <v>10</v>
      </c>
      <c r="D28" s="6" t="n">
        <v>30</v>
      </c>
      <c r="E28" s="6" t="n">
        <v>250</v>
      </c>
      <c r="F28" s="6" t="n">
        <v>500</v>
      </c>
      <c r="G28" s="6" t="n">
        <v>1000</v>
      </c>
      <c r="H28" s="26" t="n">
        <v>0.5814</v>
      </c>
      <c r="I28" s="26" t="n">
        <v>0.4726</v>
      </c>
      <c r="J28" s="26" t="n">
        <v>0.419</v>
      </c>
      <c r="K28" s="26" t="n">
        <v>0.3655</v>
      </c>
      <c r="L28" s="26" t="n">
        <v>0.333</v>
      </c>
      <c r="M28" s="26" t="n">
        <v>0.3167</v>
      </c>
      <c r="N28" s="25" t="n">
        <v>1</v>
      </c>
    </row>
    <row r="29" customFormat="false" ht="15" hidden="false" customHeight="false" outlineLevel="0" collapsed="false">
      <c r="A29" s="25" t="s">
        <v>210</v>
      </c>
      <c r="B29" s="6" t="n">
        <v>1</v>
      </c>
      <c r="C29" s="6" t="n">
        <v>50</v>
      </c>
      <c r="D29" s="6" t="n">
        <v>150</v>
      </c>
      <c r="E29" s="6" t="n">
        <v>500</v>
      </c>
      <c r="F29" s="6" t="n">
        <v>2000</v>
      </c>
      <c r="G29" s="6" t="n">
        <v>4000</v>
      </c>
      <c r="H29" s="26" t="n">
        <v>0.096</v>
      </c>
      <c r="I29" s="26" t="n">
        <v>0.0751</v>
      </c>
      <c r="J29" s="26" t="n">
        <v>0.0647</v>
      </c>
      <c r="K29" s="26" t="n">
        <v>0.0567</v>
      </c>
      <c r="L29" s="26" t="n">
        <v>0.0519</v>
      </c>
      <c r="M29" s="26" t="n">
        <v>0.0486</v>
      </c>
      <c r="N29" s="25" t="n">
        <v>1</v>
      </c>
    </row>
    <row r="30" customFormat="false" ht="15" hidden="false" customHeight="false" outlineLevel="0" collapsed="false">
      <c r="A30" s="25" t="s">
        <v>217</v>
      </c>
      <c r="B30" s="6" t="n">
        <v>1</v>
      </c>
      <c r="C30" s="6" t="n">
        <v>50</v>
      </c>
      <c r="D30" s="6" t="n">
        <v>150</v>
      </c>
      <c r="E30" s="6" t="n">
        <v>1500</v>
      </c>
      <c r="F30" s="6" t="n">
        <v>3000</v>
      </c>
      <c r="G30" s="6" t="n">
        <v>4500</v>
      </c>
      <c r="H30" s="26" t="n">
        <v>0.0848</v>
      </c>
      <c r="I30" s="26" t="n">
        <v>0.067</v>
      </c>
      <c r="J30" s="26" t="n">
        <v>0.058</v>
      </c>
      <c r="K30" s="26" t="n">
        <v>0.0512</v>
      </c>
      <c r="L30" s="26" t="n">
        <v>0.0458</v>
      </c>
      <c r="M30" s="26" t="n">
        <v>0.0431</v>
      </c>
      <c r="N30" s="25" t="n">
        <v>1</v>
      </c>
    </row>
    <row r="31" customFormat="false" ht="15" hidden="false" customHeight="false" outlineLevel="0" collapsed="false">
      <c r="A31" s="25" t="s">
        <v>225</v>
      </c>
      <c r="B31" s="6" t="n">
        <v>1</v>
      </c>
      <c r="C31" s="6" t="n">
        <v>100</v>
      </c>
      <c r="D31" s="6" t="n">
        <v>300</v>
      </c>
      <c r="E31" s="6" t="n">
        <v>2000</v>
      </c>
      <c r="F31" s="6" t="n">
        <v>4000</v>
      </c>
      <c r="G31" s="6" t="n">
        <v>10000</v>
      </c>
      <c r="H31" s="26" t="n">
        <v>0.0613</v>
      </c>
      <c r="I31" s="26" t="n">
        <v>0.0494</v>
      </c>
      <c r="J31" s="26" t="n">
        <v>0.0434</v>
      </c>
      <c r="K31" s="26" t="n">
        <v>0.0389</v>
      </c>
      <c r="L31" s="26" t="n">
        <v>0.0353</v>
      </c>
      <c r="M31" s="26" t="n">
        <v>0.0335</v>
      </c>
      <c r="N31" s="25" t="n">
        <v>1</v>
      </c>
    </row>
    <row r="32" customFormat="false" ht="15" hidden="false" customHeight="false" outlineLevel="0" collapsed="false">
      <c r="A32" s="25" t="s">
        <v>232</v>
      </c>
      <c r="B32" s="6" t="n">
        <v>1</v>
      </c>
      <c r="C32" s="6" t="n">
        <v>10</v>
      </c>
      <c r="D32" s="6" t="n">
        <v>30</v>
      </c>
      <c r="E32" s="6" t="n">
        <v>100</v>
      </c>
      <c r="F32" s="6" t="n">
        <v>500</v>
      </c>
      <c r="G32" s="6" t="n">
        <v>1000</v>
      </c>
      <c r="H32" s="26" t="n">
        <v>0.562</v>
      </c>
      <c r="I32" s="26" t="n">
        <v>0.4531</v>
      </c>
      <c r="J32" s="26" t="n">
        <v>0.3979</v>
      </c>
      <c r="K32" s="26" t="n">
        <v>0.3443</v>
      </c>
      <c r="L32" s="26" t="n">
        <v>0.3119</v>
      </c>
      <c r="M32" s="26" t="n">
        <v>0.2956</v>
      </c>
      <c r="N32" s="25" t="n">
        <v>1</v>
      </c>
    </row>
    <row r="33" customFormat="false" ht="15" hidden="false" customHeight="false" outlineLevel="0" collapsed="false">
      <c r="A33" s="25" t="s">
        <v>239</v>
      </c>
      <c r="B33" s="6" t="n">
        <v>1</v>
      </c>
      <c r="C33" s="6" t="n">
        <v>50</v>
      </c>
      <c r="D33" s="6" t="n">
        <v>150</v>
      </c>
      <c r="E33" s="6" t="n">
        <v>500</v>
      </c>
      <c r="F33" s="6" t="n">
        <v>2500</v>
      </c>
      <c r="G33" s="6" t="n">
        <v>5000</v>
      </c>
      <c r="H33" s="26" t="n">
        <v>0.2488</v>
      </c>
      <c r="I33" s="26" t="n">
        <v>0.1998</v>
      </c>
      <c r="J33" s="26" t="n">
        <v>0.1787</v>
      </c>
      <c r="K33" s="26" t="n">
        <v>0.1524</v>
      </c>
      <c r="L33" s="26" t="n">
        <v>0.1386</v>
      </c>
      <c r="M33" s="26" t="n">
        <v>0.1316</v>
      </c>
      <c r="N33" s="25" t="n">
        <v>1</v>
      </c>
    </row>
    <row r="34" customFormat="false" ht="15" hidden="false" customHeight="false" outlineLevel="0" collapsed="false">
      <c r="A34" s="25" t="s">
        <v>246</v>
      </c>
      <c r="B34" s="6" t="n">
        <v>1</v>
      </c>
      <c r="C34" s="6" t="n">
        <v>50</v>
      </c>
      <c r="D34" s="6" t="n">
        <v>150</v>
      </c>
      <c r="E34" s="6" t="n">
        <v>500</v>
      </c>
      <c r="F34" s="6" t="n">
        <v>3000</v>
      </c>
      <c r="G34" s="6" t="n">
        <v>6000</v>
      </c>
      <c r="H34" s="26" t="n">
        <v>0.1061</v>
      </c>
      <c r="I34" s="26" t="n">
        <v>0.0827</v>
      </c>
      <c r="J34" s="26" t="n">
        <v>0.071</v>
      </c>
      <c r="K34" s="26" t="n">
        <v>0.0622</v>
      </c>
      <c r="L34" s="26" t="n">
        <v>0.0553</v>
      </c>
      <c r="M34" s="26" t="n">
        <v>0.0517</v>
      </c>
      <c r="N34" s="25" t="n">
        <v>1</v>
      </c>
    </row>
    <row r="35" customFormat="false" ht="15" hidden="false" customHeight="false" outlineLevel="0" collapsed="false">
      <c r="A35" s="25" t="s">
        <v>253</v>
      </c>
      <c r="B35" s="6" t="n">
        <v>1</v>
      </c>
      <c r="C35" s="6" t="n">
        <v>10</v>
      </c>
      <c r="D35" s="6" t="n">
        <v>30</v>
      </c>
      <c r="E35" s="6" t="n">
        <v>100</v>
      </c>
      <c r="F35" s="6" t="n">
        <v>500</v>
      </c>
      <c r="G35" s="6" t="n">
        <v>1000</v>
      </c>
      <c r="H35" s="26" t="n">
        <v>1.5835</v>
      </c>
      <c r="I35" s="26" t="n">
        <v>1.296</v>
      </c>
      <c r="J35" s="26" t="n">
        <v>1.1369</v>
      </c>
      <c r="K35" s="26" t="n">
        <v>0.9582</v>
      </c>
      <c r="L35" s="26" t="n">
        <v>0.8786</v>
      </c>
      <c r="M35" s="26" t="n">
        <v>0.8429</v>
      </c>
      <c r="N35" s="25" t="n">
        <v>1</v>
      </c>
    </row>
    <row r="36" customFormat="false" ht="15" hidden="false" customHeight="false" outlineLevel="0" collapsed="false">
      <c r="A36" s="25" t="s">
        <v>260</v>
      </c>
      <c r="B36" s="6" t="n">
        <v>1</v>
      </c>
      <c r="C36" s="6" t="n">
        <v>1000</v>
      </c>
      <c r="D36" s="6" t="n">
        <v>3000</v>
      </c>
      <c r="E36" s="6" t="n">
        <v>10000</v>
      </c>
      <c r="F36" s="6" t="n">
        <v>50000</v>
      </c>
      <c r="G36" s="6" t="n">
        <v>50000</v>
      </c>
      <c r="H36" s="26" t="n">
        <v>0.004</v>
      </c>
      <c r="I36" s="26" t="n">
        <v>0.0033</v>
      </c>
      <c r="J36" s="26" t="n">
        <v>0.0029</v>
      </c>
      <c r="K36" s="26" t="n">
        <v>0.0027</v>
      </c>
      <c r="L36" s="26" t="n">
        <v>0.0025</v>
      </c>
      <c r="M36" s="26" t="n">
        <v>0.0025</v>
      </c>
      <c r="N36" s="25" t="n">
        <v>1</v>
      </c>
    </row>
    <row r="37" customFormat="false" ht="15" hidden="false" customHeight="false" outlineLevel="0" collapsed="false">
      <c r="A37" s="25" t="s">
        <v>266</v>
      </c>
      <c r="B37" s="6" t="n">
        <v>1</v>
      </c>
      <c r="C37" s="6" t="n">
        <v>1000</v>
      </c>
      <c r="D37" s="6" t="n">
        <v>3000</v>
      </c>
      <c r="E37" s="6" t="n">
        <v>10000</v>
      </c>
      <c r="F37" s="6" t="n">
        <v>50000</v>
      </c>
      <c r="G37" s="6" t="n">
        <v>50000</v>
      </c>
      <c r="H37" s="26" t="n">
        <v>0.0049</v>
      </c>
      <c r="I37" s="26" t="n">
        <v>0.0043</v>
      </c>
      <c r="J37" s="26" t="n">
        <v>0.0039</v>
      </c>
      <c r="K37" s="26" t="n">
        <v>0.0038</v>
      </c>
      <c r="L37" s="26" t="n">
        <v>0.0035</v>
      </c>
      <c r="M37" s="26" t="n">
        <v>0.0035</v>
      </c>
      <c r="N37" s="25" t="n">
        <v>1</v>
      </c>
    </row>
    <row r="38" customFormat="false" ht="15" hidden="false" customHeight="false" outlineLevel="0" collapsed="false">
      <c r="A38" s="25" t="s">
        <v>272</v>
      </c>
      <c r="B38" s="6" t="n">
        <v>1</v>
      </c>
      <c r="C38" s="6" t="n">
        <v>1000</v>
      </c>
      <c r="D38" s="6" t="n">
        <v>3000</v>
      </c>
      <c r="E38" s="6" t="n">
        <v>10000</v>
      </c>
      <c r="F38" s="6" t="n">
        <v>50000</v>
      </c>
      <c r="G38" s="6" t="n">
        <v>50000</v>
      </c>
      <c r="H38" s="26" t="n">
        <v>0.0019</v>
      </c>
      <c r="I38" s="26" t="n">
        <v>0.0017</v>
      </c>
      <c r="J38" s="26" t="n">
        <v>0.0016</v>
      </c>
      <c r="K38" s="26" t="n">
        <v>0.0015</v>
      </c>
      <c r="L38" s="26" t="n">
        <v>0.0014</v>
      </c>
      <c r="M38" s="26" t="n">
        <v>0.0014</v>
      </c>
      <c r="N38" s="25" t="n">
        <v>1</v>
      </c>
    </row>
    <row r="39" customFormat="false" ht="15" hidden="false" customHeight="false" outlineLevel="0" collapsed="false">
      <c r="A39" s="25" t="s">
        <v>277</v>
      </c>
      <c r="B39" s="6" t="n">
        <v>1</v>
      </c>
      <c r="C39" s="6" t="n">
        <v>1000</v>
      </c>
      <c r="D39" s="6" t="n">
        <v>3000</v>
      </c>
      <c r="E39" s="6" t="n">
        <v>10000</v>
      </c>
      <c r="F39" s="6" t="n">
        <v>50000</v>
      </c>
      <c r="G39" s="6" t="n">
        <v>50000</v>
      </c>
      <c r="H39" s="26" t="n">
        <v>0.0053</v>
      </c>
      <c r="I39" s="26" t="n">
        <v>0.0048</v>
      </c>
      <c r="J39" s="26" t="n">
        <v>0.0045</v>
      </c>
      <c r="K39" s="26" t="n">
        <v>0.0043</v>
      </c>
      <c r="L39" s="26" t="n">
        <v>0.0042</v>
      </c>
      <c r="M39" s="26" t="n">
        <v>0.0042</v>
      </c>
      <c r="N39" s="25" t="n">
        <v>1</v>
      </c>
    </row>
    <row r="40" customFormat="false" ht="15" hidden="false" customHeight="false" outlineLevel="0" collapsed="false">
      <c r="A40" s="25" t="s">
        <v>282</v>
      </c>
      <c r="B40" s="6" t="n">
        <v>1</v>
      </c>
      <c r="C40" s="6" t="n">
        <v>1000</v>
      </c>
      <c r="D40" s="6" t="n">
        <v>3000</v>
      </c>
      <c r="E40" s="6" t="n">
        <v>10000</v>
      </c>
      <c r="F40" s="6" t="n">
        <v>50000</v>
      </c>
      <c r="G40" s="6" t="n">
        <v>50000</v>
      </c>
      <c r="H40" s="26" t="n">
        <v>0.004</v>
      </c>
      <c r="I40" s="26" t="n">
        <v>0.0033</v>
      </c>
      <c r="J40" s="26" t="n">
        <v>0.0029</v>
      </c>
      <c r="K40" s="26" t="n">
        <v>0.0027</v>
      </c>
      <c r="L40" s="26" t="n">
        <v>0.0025</v>
      </c>
      <c r="M40" s="26" t="n">
        <v>0.0025</v>
      </c>
      <c r="N40" s="25" t="n">
        <v>1</v>
      </c>
    </row>
    <row r="41" customFormat="false" ht="15" hidden="false" customHeight="false" outlineLevel="0" collapsed="false">
      <c r="A41" s="25" t="s">
        <v>287</v>
      </c>
      <c r="B41" s="6" t="n">
        <v>1</v>
      </c>
      <c r="C41" s="6" t="n">
        <v>1000</v>
      </c>
      <c r="D41" s="6" t="n">
        <v>3000</v>
      </c>
      <c r="E41" s="6" t="n">
        <v>10000</v>
      </c>
      <c r="F41" s="6" t="n">
        <v>50000</v>
      </c>
      <c r="G41" s="6" t="n">
        <v>50000</v>
      </c>
      <c r="H41" s="26" t="n">
        <v>0.0072</v>
      </c>
      <c r="I41" s="26" t="n">
        <v>0.0063</v>
      </c>
      <c r="J41" s="26" t="n">
        <v>0.0059</v>
      </c>
      <c r="K41" s="26" t="n">
        <v>0.0057</v>
      </c>
      <c r="L41" s="26" t="n">
        <v>0.0049</v>
      </c>
      <c r="M41" s="26" t="n">
        <v>0.0049</v>
      </c>
      <c r="N41" s="25" t="n">
        <v>1</v>
      </c>
    </row>
    <row r="42" customFormat="false" ht="15" hidden="false" customHeight="false" outlineLevel="0" collapsed="false">
      <c r="A42" s="25" t="s">
        <v>292</v>
      </c>
      <c r="B42" s="6" t="n">
        <v>1</v>
      </c>
      <c r="C42" s="6" t="n">
        <v>200</v>
      </c>
      <c r="D42" s="6" t="n">
        <v>600</v>
      </c>
      <c r="E42" s="6" t="n">
        <v>2000</v>
      </c>
      <c r="F42" s="6" t="n">
        <v>10000</v>
      </c>
      <c r="G42" s="6" t="n">
        <v>20000</v>
      </c>
      <c r="H42" s="26" t="n">
        <v>0.0166</v>
      </c>
      <c r="I42" s="26" t="n">
        <v>0.0137</v>
      </c>
      <c r="J42" s="26" t="n">
        <v>0.012</v>
      </c>
      <c r="K42" s="26" t="n">
        <v>0.011</v>
      </c>
      <c r="L42" s="26" t="n">
        <v>0.0102</v>
      </c>
      <c r="M42" s="26" t="n">
        <v>0.0097</v>
      </c>
      <c r="N42" s="25" t="n">
        <v>1</v>
      </c>
    </row>
    <row r="43" customFormat="false" ht="15" hidden="false" customHeight="false" outlineLevel="0" collapsed="false">
      <c r="A43" s="25" t="s">
        <v>298</v>
      </c>
      <c r="B43" s="6" t="n">
        <v>1</v>
      </c>
      <c r="C43" s="6" t="n">
        <v>100</v>
      </c>
      <c r="D43" s="6" t="n">
        <v>300</v>
      </c>
      <c r="E43" s="6" t="n">
        <v>1000</v>
      </c>
      <c r="F43" s="6" t="n">
        <v>5000</v>
      </c>
      <c r="G43" s="6" t="n">
        <v>10000</v>
      </c>
      <c r="H43" s="26" t="n">
        <v>0.0546</v>
      </c>
      <c r="I43" s="26" t="n">
        <v>0.0462</v>
      </c>
      <c r="J43" s="26" t="n">
        <v>0.0419</v>
      </c>
      <c r="K43" s="26" t="n">
        <v>0.0389</v>
      </c>
      <c r="L43" s="26" t="n">
        <v>0.0283</v>
      </c>
      <c r="M43" s="26" t="n">
        <v>0.0272</v>
      </c>
      <c r="N43" s="25" t="n">
        <v>1</v>
      </c>
    </row>
    <row r="44" customFormat="false" ht="15" hidden="false" customHeight="false" outlineLevel="0" collapsed="false">
      <c r="A44" s="25" t="s">
        <v>304</v>
      </c>
      <c r="B44" s="6" t="n">
        <v>1</v>
      </c>
      <c r="C44" s="6" t="n">
        <v>1000</v>
      </c>
      <c r="D44" s="6" t="n">
        <v>3000</v>
      </c>
      <c r="E44" s="6" t="n">
        <v>10000</v>
      </c>
      <c r="F44" s="6" t="n">
        <v>50000</v>
      </c>
      <c r="G44" s="6" t="n">
        <v>50000</v>
      </c>
      <c r="H44" s="26" t="n">
        <v>0.0067</v>
      </c>
      <c r="I44" s="26" t="n">
        <v>0.0058</v>
      </c>
      <c r="J44" s="26" t="n">
        <v>0.0054</v>
      </c>
      <c r="K44" s="26" t="n">
        <v>0.0052</v>
      </c>
      <c r="L44" s="26" t="n">
        <v>0.0049</v>
      </c>
      <c r="M44" s="26" t="n">
        <v>0.0049</v>
      </c>
      <c r="N44" s="25" t="n">
        <v>1</v>
      </c>
    </row>
    <row r="45" customFormat="false" ht="15" hidden="false" customHeight="false" outlineLevel="0" collapsed="false">
      <c r="A45" s="25" t="s">
        <v>309</v>
      </c>
      <c r="B45" s="6" t="n">
        <v>1</v>
      </c>
      <c r="C45" s="6" t="n">
        <v>1000</v>
      </c>
      <c r="D45" s="6" t="n">
        <v>3000</v>
      </c>
      <c r="E45" s="6" t="n">
        <v>10000</v>
      </c>
      <c r="F45" s="6" t="n">
        <v>50000</v>
      </c>
      <c r="G45" s="6" t="n">
        <v>50000</v>
      </c>
      <c r="H45" s="26" t="n">
        <v>0.002</v>
      </c>
      <c r="I45" s="26" t="n">
        <v>0.0016</v>
      </c>
      <c r="J45" s="26" t="n">
        <v>0.0014</v>
      </c>
      <c r="K45" s="26" t="n">
        <v>0.0014</v>
      </c>
      <c r="L45" s="26" t="n">
        <v>0.0012</v>
      </c>
      <c r="M45" s="26" t="n">
        <v>0.0012</v>
      </c>
      <c r="N45" s="25" t="n">
        <v>1</v>
      </c>
    </row>
    <row r="46" customFormat="false" ht="15" hidden="false" customHeight="false" outlineLevel="0" collapsed="false">
      <c r="A46" s="25" t="s">
        <v>316</v>
      </c>
      <c r="B46" s="6" t="n">
        <v>1</v>
      </c>
      <c r="C46" s="6" t="n">
        <v>50</v>
      </c>
      <c r="D46" s="6" t="n">
        <v>150</v>
      </c>
      <c r="E46" s="6" t="n">
        <v>500</v>
      </c>
      <c r="F46" s="6" t="n">
        <v>2500</v>
      </c>
      <c r="G46" s="6" t="n">
        <v>4000</v>
      </c>
      <c r="H46" s="26" t="n">
        <v>0.175</v>
      </c>
      <c r="I46" s="26" t="n">
        <v>0.1379</v>
      </c>
      <c r="J46" s="26" t="n">
        <v>0.1222</v>
      </c>
      <c r="K46" s="26" t="n">
        <v>0.1024</v>
      </c>
      <c r="L46" s="26" t="n">
        <v>0.086</v>
      </c>
      <c r="M46" s="26" t="n">
        <v>0.0806</v>
      </c>
      <c r="N46" s="25" t="n">
        <v>1</v>
      </c>
    </row>
    <row r="47" customFormat="false" ht="15" hidden="false" customHeight="false" outlineLevel="0" collapsed="false">
      <c r="A47" s="25" t="s">
        <v>322</v>
      </c>
      <c r="B47" s="6" t="n">
        <v>1</v>
      </c>
      <c r="C47" s="6" t="n">
        <v>50</v>
      </c>
      <c r="D47" s="6" t="n">
        <v>150</v>
      </c>
      <c r="E47" s="6" t="n">
        <v>500</v>
      </c>
      <c r="F47" s="6" t="n">
        <v>2500</v>
      </c>
      <c r="G47" s="6" t="n">
        <v>5000</v>
      </c>
      <c r="H47" s="26" t="n">
        <v>0.1711</v>
      </c>
      <c r="I47" s="26" t="n">
        <v>0.1348</v>
      </c>
      <c r="J47" s="26" t="n">
        <v>0.1193</v>
      </c>
      <c r="K47" s="26" t="n">
        <v>0.0985</v>
      </c>
      <c r="L47" s="26" t="n">
        <v>0.0899</v>
      </c>
      <c r="M47" s="26" t="n">
        <v>0.0847</v>
      </c>
      <c r="N47" s="25" t="n">
        <v>1</v>
      </c>
    </row>
    <row r="48" customFormat="false" ht="15" hidden="false" customHeight="false" outlineLevel="0" collapsed="false">
      <c r="A48" s="25" t="s">
        <v>328</v>
      </c>
      <c r="B48" s="6" t="n">
        <v>1</v>
      </c>
      <c r="C48" s="6" t="n">
        <v>10</v>
      </c>
      <c r="D48" s="6" t="n">
        <v>30</v>
      </c>
      <c r="E48" s="6" t="n">
        <v>100</v>
      </c>
      <c r="F48" s="6" t="n">
        <v>500</v>
      </c>
      <c r="G48" s="6" t="n">
        <v>1000</v>
      </c>
      <c r="H48" s="26" t="n">
        <v>2.3516</v>
      </c>
      <c r="I48" s="26" t="n">
        <v>1.9813</v>
      </c>
      <c r="J48" s="26" t="n">
        <v>1.7507</v>
      </c>
      <c r="K48" s="26" t="n">
        <v>1.5136</v>
      </c>
      <c r="L48" s="26" t="n">
        <v>1.4064</v>
      </c>
      <c r="M48" s="26" t="n">
        <v>1.3593</v>
      </c>
      <c r="N48" s="25" t="n">
        <v>1</v>
      </c>
    </row>
    <row r="49" customFormat="false" ht="15" hidden="false" customHeight="false" outlineLevel="0" collapsed="false">
      <c r="A49" s="25" t="s">
        <v>334</v>
      </c>
      <c r="B49" s="6" t="n">
        <v>1</v>
      </c>
      <c r="C49" s="6" t="n">
        <v>10</v>
      </c>
      <c r="D49" s="6" t="n">
        <v>30</v>
      </c>
      <c r="E49" s="6" t="n">
        <v>100</v>
      </c>
      <c r="F49" s="6" t="n">
        <v>500</v>
      </c>
      <c r="G49" s="6" t="n">
        <v>1000</v>
      </c>
      <c r="H49" s="26" t="n">
        <v>1.6322</v>
      </c>
      <c r="I49" s="26" t="n">
        <v>1.4519</v>
      </c>
      <c r="J49" s="26" t="n">
        <v>1.3236</v>
      </c>
      <c r="K49" s="26" t="n">
        <v>1.2067</v>
      </c>
      <c r="L49" s="26" t="n">
        <v>1.1531</v>
      </c>
      <c r="M49" s="26" t="n">
        <v>1.132</v>
      </c>
      <c r="N49" s="25" t="n">
        <v>1</v>
      </c>
    </row>
    <row r="50" customFormat="false" ht="15" hidden="false" customHeight="false" outlineLevel="0" collapsed="false">
      <c r="A50" s="25" t="s">
        <v>341</v>
      </c>
      <c r="B50" s="6" t="n">
        <v>1</v>
      </c>
      <c r="C50" s="6" t="n">
        <v>10</v>
      </c>
      <c r="D50" s="6" t="n">
        <v>30</v>
      </c>
      <c r="E50" s="6" t="n">
        <v>100</v>
      </c>
      <c r="F50" s="6" t="n">
        <v>500</v>
      </c>
      <c r="G50" s="6" t="n">
        <v>1000</v>
      </c>
      <c r="H50" s="26" t="n">
        <v>3.2269</v>
      </c>
      <c r="I50" s="26" t="n">
        <v>2.868</v>
      </c>
      <c r="J50" s="26" t="n">
        <v>2.6862</v>
      </c>
      <c r="K50" s="26" t="n">
        <v>2.4393</v>
      </c>
      <c r="L50" s="26" t="n">
        <v>2.3516</v>
      </c>
      <c r="M50" s="26" t="n">
        <v>2.3143</v>
      </c>
      <c r="N50" s="25" t="n">
        <v>1</v>
      </c>
    </row>
    <row r="51" customFormat="false" ht="15" hidden="false" customHeight="false" outlineLevel="0" collapsed="false">
      <c r="A51" s="25" t="s">
        <v>347</v>
      </c>
      <c r="B51" s="6" t="n">
        <v>1</v>
      </c>
      <c r="C51" s="6" t="n">
        <v>10</v>
      </c>
      <c r="D51" s="6" t="n">
        <v>30</v>
      </c>
      <c r="E51" s="6" t="n">
        <v>100</v>
      </c>
      <c r="F51" s="6" t="n">
        <v>500</v>
      </c>
      <c r="G51" s="6" t="n">
        <v>1000</v>
      </c>
      <c r="H51" s="26" t="n">
        <v>0.8121</v>
      </c>
      <c r="I51" s="26" t="n">
        <v>0.6756</v>
      </c>
      <c r="J51" s="26" t="n">
        <v>0.6074</v>
      </c>
      <c r="K51" s="26" t="n">
        <v>0.5392</v>
      </c>
      <c r="L51" s="26" t="n">
        <v>0.4743</v>
      </c>
      <c r="M51" s="26" t="n">
        <v>0.4531</v>
      </c>
      <c r="N51" s="25" t="n">
        <v>1</v>
      </c>
    </row>
    <row r="52" customFormat="false" ht="15" hidden="false" customHeight="false" outlineLevel="0" collapsed="false">
      <c r="A52" s="25" t="s">
        <v>353</v>
      </c>
      <c r="B52" s="6" t="n">
        <v>1</v>
      </c>
      <c r="C52" s="6" t="n">
        <v>10</v>
      </c>
      <c r="D52" s="6" t="n">
        <v>30</v>
      </c>
      <c r="E52" s="6" t="n">
        <v>100</v>
      </c>
      <c r="F52" s="6" t="n">
        <v>500</v>
      </c>
      <c r="G52" s="6" t="n">
        <v>1000</v>
      </c>
      <c r="H52" s="26" t="n">
        <v>1.1515</v>
      </c>
      <c r="I52" s="26" t="n">
        <v>0.9566</v>
      </c>
      <c r="J52" s="26" t="n">
        <v>0.8494</v>
      </c>
      <c r="K52" s="26" t="n">
        <v>0.7276</v>
      </c>
      <c r="L52" s="26" t="n">
        <v>0.674</v>
      </c>
      <c r="M52" s="26" t="n">
        <v>0.6497</v>
      </c>
      <c r="N52" s="25" t="n">
        <v>1</v>
      </c>
    </row>
    <row r="53" customFormat="false" ht="15" hidden="false" customHeight="false" outlineLevel="0" collapsed="false">
      <c r="A53" s="25" t="s">
        <v>360</v>
      </c>
      <c r="B53" s="6" t="n">
        <v>1</v>
      </c>
      <c r="C53" s="6" t="n">
        <v>50</v>
      </c>
      <c r="D53" s="6" t="n">
        <v>150</v>
      </c>
      <c r="E53" s="6" t="n">
        <v>500</v>
      </c>
      <c r="F53" s="6" t="n">
        <v>3000</v>
      </c>
      <c r="G53" s="6" t="n">
        <v>6000</v>
      </c>
      <c r="H53" s="26" t="n">
        <v>0.0928</v>
      </c>
      <c r="I53" s="26" t="n">
        <v>0.073</v>
      </c>
      <c r="J53" s="26" t="n">
        <v>0.0632</v>
      </c>
      <c r="K53" s="26" t="n">
        <v>0.0558</v>
      </c>
      <c r="L53" s="26" t="n">
        <v>0.0499</v>
      </c>
      <c r="M53" s="26" t="n">
        <v>0.047</v>
      </c>
      <c r="N53" s="25" t="n">
        <v>1</v>
      </c>
    </row>
    <row r="54" customFormat="false" ht="15" hidden="false" customHeight="false" outlineLevel="0" collapsed="false">
      <c r="A54" s="25" t="s">
        <v>366</v>
      </c>
      <c r="B54" s="6" t="n">
        <v>1</v>
      </c>
      <c r="C54" s="6" t="n">
        <v>10</v>
      </c>
      <c r="D54" s="6" t="n">
        <v>30</v>
      </c>
      <c r="E54" s="6" t="n">
        <v>100</v>
      </c>
      <c r="F54" s="6" t="n">
        <v>100</v>
      </c>
      <c r="G54" s="6" t="n">
        <v>100</v>
      </c>
      <c r="H54" s="26" t="n">
        <v>7.7579</v>
      </c>
      <c r="I54" s="26" t="n">
        <v>7.5858</v>
      </c>
      <c r="J54" s="26" t="n">
        <v>7.4705</v>
      </c>
      <c r="K54" s="26" t="n">
        <v>7.3568</v>
      </c>
      <c r="L54" s="26" t="n">
        <v>7.3568</v>
      </c>
      <c r="M54" s="26" t="n">
        <v>7.3568</v>
      </c>
      <c r="N54" s="25" t="n">
        <v>2</v>
      </c>
    </row>
    <row r="55" customFormat="false" ht="15" hidden="false" customHeight="false" outlineLevel="0" collapsed="false">
      <c r="A55" s="25" t="s">
        <v>375</v>
      </c>
      <c r="B55" s="6" t="n">
        <v>1</v>
      </c>
      <c r="C55" s="6" t="n">
        <v>10</v>
      </c>
      <c r="D55" s="6" t="n">
        <v>30</v>
      </c>
      <c r="E55" s="6" t="n">
        <v>100</v>
      </c>
      <c r="F55" s="6" t="n">
        <v>100</v>
      </c>
      <c r="G55" s="6" t="n">
        <v>100</v>
      </c>
      <c r="H55" s="26" t="n">
        <v>8.7551</v>
      </c>
      <c r="I55" s="26" t="n">
        <v>7.5793</v>
      </c>
      <c r="J55" s="26" t="n">
        <v>6.8631</v>
      </c>
      <c r="K55" s="26" t="n">
        <v>6.2622</v>
      </c>
      <c r="L55" s="26" t="n">
        <v>6.2622</v>
      </c>
      <c r="M55" s="26" t="n">
        <v>6.2622</v>
      </c>
      <c r="N55" s="25" t="n">
        <v>2</v>
      </c>
    </row>
    <row r="56" customFormat="false" ht="15" hidden="false" customHeight="false" outlineLevel="0" collapsed="false">
      <c r="A56" s="25" t="s">
        <v>382</v>
      </c>
      <c r="B56" s="6" t="n">
        <v>1</v>
      </c>
      <c r="C56" s="6" t="n">
        <v>50</v>
      </c>
      <c r="D56" s="6" t="n">
        <v>150</v>
      </c>
      <c r="E56" s="6" t="n">
        <v>500</v>
      </c>
      <c r="F56" s="6" t="n">
        <v>3000</v>
      </c>
      <c r="G56" s="6" t="n">
        <v>6000</v>
      </c>
      <c r="H56" s="26" t="n">
        <v>0.1888</v>
      </c>
      <c r="I56" s="26" t="n">
        <v>0.1495</v>
      </c>
      <c r="J56" s="26" t="n">
        <v>0.1305</v>
      </c>
      <c r="K56" s="26" t="n">
        <v>0.1134</v>
      </c>
      <c r="L56" s="26" t="n">
        <v>0.1087</v>
      </c>
      <c r="M56" s="26" t="n">
        <v>0.1058</v>
      </c>
      <c r="N56" s="25" t="n">
        <v>1</v>
      </c>
    </row>
    <row r="57" customFormat="false" ht="15" hidden="false" customHeight="false" outlineLevel="0" collapsed="false">
      <c r="A57" s="25" t="s">
        <v>388</v>
      </c>
      <c r="B57" s="6" t="n">
        <v>1</v>
      </c>
      <c r="C57" s="6" t="n">
        <v>10</v>
      </c>
      <c r="D57" s="6" t="n">
        <v>30</v>
      </c>
      <c r="E57" s="6" t="n">
        <v>100</v>
      </c>
      <c r="F57" s="6" t="n">
        <v>500</v>
      </c>
      <c r="G57" s="6" t="n">
        <v>1000</v>
      </c>
      <c r="H57" s="26" t="n">
        <v>3.3634</v>
      </c>
      <c r="I57" s="26" t="n">
        <v>2.9931</v>
      </c>
      <c r="J57" s="26" t="n">
        <v>2.8047</v>
      </c>
      <c r="K57" s="26" t="n">
        <v>2.553</v>
      </c>
      <c r="L57" s="26" t="n">
        <v>2.1908</v>
      </c>
      <c r="M57" s="26" t="n">
        <v>2.1519</v>
      </c>
      <c r="N57" s="25" t="n">
        <v>1</v>
      </c>
    </row>
    <row r="58" customFormat="false" ht="15" hidden="false" customHeight="false" outlineLevel="0" collapsed="false">
      <c r="A58" s="25" t="s">
        <v>395</v>
      </c>
      <c r="B58" s="6" t="n">
        <v>1</v>
      </c>
      <c r="C58" s="6" t="n">
        <v>10</v>
      </c>
      <c r="D58" s="6" t="n">
        <v>30</v>
      </c>
      <c r="E58" s="6" t="n">
        <v>100</v>
      </c>
      <c r="F58" s="6" t="n">
        <v>500</v>
      </c>
      <c r="G58" s="6" t="n">
        <v>1000</v>
      </c>
      <c r="H58" s="26" t="n">
        <v>0.9923</v>
      </c>
      <c r="I58" s="26" t="n">
        <v>0.9062</v>
      </c>
      <c r="J58" s="26" t="n">
        <v>0.8234</v>
      </c>
      <c r="K58" s="26" t="n">
        <v>0.7633</v>
      </c>
      <c r="L58" s="26" t="n">
        <v>0.7373</v>
      </c>
      <c r="M58" s="26" t="n">
        <v>0.7244</v>
      </c>
      <c r="N58" s="25" t="n">
        <v>1</v>
      </c>
    </row>
    <row r="59" customFormat="false" ht="15" hidden="false" customHeight="false" outlineLevel="0" collapsed="false">
      <c r="A59" s="25" t="s">
        <v>402</v>
      </c>
      <c r="B59" s="6" t="n">
        <v>1</v>
      </c>
      <c r="C59" s="6" t="n">
        <v>10</v>
      </c>
      <c r="D59" s="6" t="n">
        <v>30</v>
      </c>
      <c r="E59" s="6" t="n">
        <v>100</v>
      </c>
      <c r="F59" s="6" t="n">
        <v>500</v>
      </c>
      <c r="G59" s="6" t="n">
        <v>1000</v>
      </c>
      <c r="H59" s="26" t="n">
        <v>0.6448</v>
      </c>
      <c r="I59" s="26" t="n">
        <v>0.549</v>
      </c>
      <c r="J59" s="26" t="n">
        <v>0.4824</v>
      </c>
      <c r="K59" s="26" t="n">
        <v>0.4255</v>
      </c>
      <c r="L59" s="26" t="n">
        <v>0.4077</v>
      </c>
      <c r="M59" s="26" t="n">
        <v>0.3979</v>
      </c>
      <c r="N59" s="25" t="n">
        <v>1</v>
      </c>
    </row>
    <row r="60" customFormat="false" ht="15" hidden="false" customHeight="false" outlineLevel="0" collapsed="false">
      <c r="A60" s="25" t="s">
        <v>408</v>
      </c>
      <c r="B60" s="6" t="n">
        <v>1</v>
      </c>
      <c r="C60" s="6" t="n">
        <v>50</v>
      </c>
      <c r="D60" s="6" t="n">
        <v>150</v>
      </c>
      <c r="E60" s="6" t="n">
        <v>500</v>
      </c>
      <c r="F60" s="6" t="n">
        <v>3000</v>
      </c>
      <c r="G60" s="6" t="n">
        <v>6000</v>
      </c>
      <c r="H60" s="26" t="n">
        <v>0.2955</v>
      </c>
      <c r="I60" s="26" t="n">
        <v>0.2316</v>
      </c>
      <c r="J60" s="26" t="n">
        <v>0.2042</v>
      </c>
      <c r="K60" s="26" t="n">
        <v>0.1701</v>
      </c>
      <c r="L60" s="26" t="n">
        <v>0.1548</v>
      </c>
      <c r="M60" s="26" t="n">
        <v>0.1457</v>
      </c>
      <c r="N60" s="2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2026-08-23T18:05:47Z</dcterms:created>
  <dc:creator>openpyxl</dc:creator>
  <dc:description/>
  <dc:language>en-US</dc:language>
  <cp:lastModifiedBy/>
  <dcterms:modified xsi:type="dcterms:W3CDTF">2026-08-23T18:05:47Z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